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Faturamento Telequipe\Telefônica_T2\T2_T4_MG\MB5\"/>
    </mc:Choice>
  </mc:AlternateContent>
  <xr:revisionPtr revIDLastSave="0" documentId="13_ncr:1_{22E17286-844C-43D8-BF80-6EE35C70C7C6}" xr6:coauthVersionLast="45" xr6:coauthVersionMax="45" xr10:uidLastSave="{00000000-0000-0000-0000-000000000000}"/>
  <bookViews>
    <workbookView xWindow="28680" yWindow="-120" windowWidth="29040" windowHeight="15720" tabRatio="618" xr2:uid="{00000000-000D-0000-FFFF-FFFF00000000}"/>
  </bookViews>
  <sheets>
    <sheet name="ISP-000000-17-0000000-00" sheetId="2" r:id="rId1"/>
    <sheet name="CALC_DIFAL_FORMULAS" sheetId="3" r:id="rId2"/>
  </sheets>
  <functionGroups builtInGroupCount="19"/>
  <definedNames>
    <definedName name="_xlnm._FilterDatabase" localSheetId="1" hidden="1">CALC_DIFAL_FORMULAS!$A$1:$B$28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" i="2" l="1"/>
  <c r="S18" i="2" s="1"/>
  <c r="O23" i="2" l="1"/>
  <c r="M23" i="2"/>
  <c r="Y17" i="2" l="1"/>
  <c r="W17" i="2"/>
  <c r="U17" i="2"/>
  <c r="A29" i="2"/>
  <c r="A30" i="2" s="1"/>
  <c r="A31" i="2" s="1"/>
  <c r="A32" i="2" s="1"/>
  <c r="A33" i="2" s="1"/>
  <c r="A34" i="2" s="1"/>
  <c r="A35" i="2" s="1"/>
  <c r="A36" i="2" s="1"/>
  <c r="Z17" i="2" l="1"/>
  <c r="Z18" i="2" s="1"/>
  <c r="AA17" i="2" l="1"/>
  <c r="AA18" i="2" s="1"/>
  <c r="R23" i="2" s="1"/>
  <c r="R24" i="2" l="1"/>
  <c r="V23" i="2"/>
  <c r="V2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 Jose Barbosa</author>
    <author>Antonio  Jose Barbosa</author>
  </authors>
  <commentList>
    <comment ref="G6" authorId="0" shapeId="0" xr:uid="{C918C903-99F3-496B-B434-0A75B8AC08A8}">
      <text>
        <r>
          <rPr>
            <b/>
            <sz val="9"/>
            <color indexed="81"/>
            <rFont val="Segoe UI"/>
            <family val="2"/>
          </rPr>
          <t>Insrir o Escopo do Contrato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Z6" authorId="1" shapeId="0" xr:uid="{C10E2340-2FB9-42D4-86A9-8906BF8477CF}">
      <text>
        <r>
          <rPr>
            <b/>
            <sz val="9"/>
            <color indexed="81"/>
            <rFont val="Segoe UI"/>
            <family val="2"/>
          </rPr>
          <t>Inserir o PEP nível 3 recebido na T2</t>
        </r>
      </text>
    </comment>
    <comment ref="G10" authorId="1" shapeId="0" xr:uid="{645F1FA0-3E93-4EA5-B458-F33AFBC5BEED}">
      <text>
        <r>
          <rPr>
            <b/>
            <sz val="9"/>
            <color indexed="81"/>
            <rFont val="Segoe UI"/>
            <family val="2"/>
          </rPr>
          <t>Inserir a data em que foi adjudicado o Contrato.</t>
        </r>
      </text>
    </comment>
    <comment ref="AA10" authorId="1" shapeId="0" xr:uid="{EA3B219E-57EA-45C3-9391-EDF4BE036CDC}">
      <text>
        <r>
          <rPr>
            <b/>
            <sz val="9"/>
            <color indexed="81"/>
            <rFont val="Segoe UI"/>
            <family val="2"/>
          </rPr>
          <t>Inserir a data de preenchimento e envio da Planilha T4 à Telefonica (Gestor)</t>
        </r>
      </text>
    </comment>
    <comment ref="D14" authorId="0" shapeId="0" xr:uid="{9C6A4478-2380-4972-9C63-42B652B6DBEB}">
      <text>
        <r>
          <rPr>
            <b/>
            <sz val="9"/>
            <color indexed="81"/>
            <rFont val="Segoe UI"/>
            <family val="2"/>
          </rPr>
          <t>Inserir o Código do Fornecedor emissor da Nota Fiscal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J14" authorId="0" shapeId="0" xr:uid="{E5719CC9-2F44-4B0B-ACE1-AA07A4912842}">
      <text>
        <r>
          <rPr>
            <b/>
            <sz val="9"/>
            <color indexed="81"/>
            <rFont val="Segoe UI"/>
            <family val="2"/>
          </rPr>
          <t>Inserir o Código do Material que seja adente à LPU do Contrato e conforme Rede Fixa ou Móvel. Cada Rede tem códigos próprios.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N14" authorId="1" shapeId="0" xr:uid="{FB4F2A36-FE50-4E3A-BBCD-688E7E570644}">
      <text>
        <r>
          <rPr>
            <b/>
            <sz val="9"/>
            <color indexed="81"/>
            <rFont val="Segoe UI"/>
            <family val="2"/>
          </rPr>
          <t>Limitado a três dígitos - 999.</t>
        </r>
      </text>
    </comment>
    <comment ref="P14" authorId="1" shapeId="0" xr:uid="{24D2E881-D176-48FE-9326-9D381BF8FB1E}">
      <text>
        <r>
          <rPr>
            <b/>
            <sz val="9"/>
            <color indexed="81"/>
            <rFont val="Segoe UI"/>
            <family val="2"/>
          </rPr>
          <t>Inserir a data de entrega do (equipamento, material, software, ou serviço)</t>
        </r>
      </text>
    </comment>
    <comment ref="T15" authorId="1" shapeId="0" xr:uid="{DE95ABEE-69A4-4B3A-80D2-F4E57EF809E9}">
      <text>
        <r>
          <rPr>
            <b/>
            <sz val="9"/>
            <color indexed="81"/>
            <rFont val="Segoe UI"/>
            <family val="2"/>
          </rPr>
          <t>Inserir a alíquota/ valores de ICMS aplicada, conforme condições tributárias.</t>
        </r>
      </text>
    </comment>
    <comment ref="V15" authorId="1" shapeId="0" xr:uid="{F8CB37D0-7835-4574-93D4-5C7787A9C004}">
      <text>
        <r>
          <rPr>
            <b/>
            <sz val="9"/>
            <color indexed="81"/>
            <rFont val="Segoe UI"/>
            <family val="2"/>
          </rPr>
          <t>Inserir a alíquota aplicada de IPI na coluna "AE" correspondente ao item.</t>
        </r>
      </text>
    </comment>
    <comment ref="V16" authorId="1" shapeId="0" xr:uid="{227BA5CA-2F78-49BB-ADD7-03DAC79029C5}">
      <text>
        <r>
          <rPr>
            <b/>
            <sz val="9"/>
            <color indexed="81"/>
            <rFont val="Segoe UI"/>
            <family val="2"/>
          </rPr>
          <t>Inserir o código NCM, conforme item correspondente</t>
        </r>
      </text>
    </comment>
    <comment ref="F22" authorId="1" shapeId="0" xr:uid="{47629FB3-3C94-44E5-91E2-5882C3285698}">
      <text>
        <r>
          <rPr>
            <b/>
            <sz val="9"/>
            <color indexed="81"/>
            <rFont val="Segoe UI"/>
            <family val="2"/>
          </rPr>
          <t>Para HW e materiais</t>
        </r>
        <r>
          <rPr>
            <sz val="9"/>
            <color indexed="81"/>
            <rFont val="Segoe UI"/>
            <family val="2"/>
          </rPr>
          <t xml:space="preserve"> (evento gerador = entrega física)</t>
        </r>
        <r>
          <rPr>
            <b/>
            <sz val="9"/>
            <color indexed="81"/>
            <rFont val="Segoe UI"/>
            <family val="2"/>
          </rPr>
          <t xml:space="preserve">
Para SW / Licença de SW </t>
        </r>
        <r>
          <rPr>
            <sz val="9"/>
            <color indexed="81"/>
            <rFont val="Segoe UI"/>
            <family val="2"/>
          </rPr>
          <t>(evento gerador = em funcionamento sem pendências)</t>
        </r>
        <r>
          <rPr>
            <b/>
            <sz val="9"/>
            <color indexed="81"/>
            <rFont val="Segoe UI"/>
            <family val="2"/>
          </rPr>
          <t xml:space="preserve">
Para serviços </t>
        </r>
        <r>
          <rPr>
            <sz val="9"/>
            <color indexed="81"/>
            <rFont val="Segoe UI"/>
            <family val="2"/>
          </rPr>
          <t xml:space="preserve">(evento gerador = término dos serviços sem pendências)
</t>
        </r>
        <r>
          <rPr>
            <b/>
            <sz val="9"/>
            <color indexed="81"/>
            <rFont val="Segoe UI"/>
            <family val="2"/>
          </rPr>
          <t>OBS.: Verificar os eventos no seu Contrato</t>
        </r>
      </text>
    </comment>
    <comment ref="K22" authorId="1" shapeId="0" xr:uid="{F154D1A1-1B3F-4B60-9986-F939B44A8638}">
      <text>
        <r>
          <rPr>
            <b/>
            <sz val="9"/>
            <color indexed="81"/>
            <rFont val="Segoe UI"/>
            <family val="2"/>
          </rPr>
          <t>inserir a operação de evento de pagamento conforme condições contratuais e a terminação do pep nesta planilha</t>
        </r>
      </text>
    </comment>
    <comment ref="M22" authorId="1" shapeId="0" xr:uid="{CE0C03F1-9116-46B6-9CD8-7EBACA6E8FD6}">
      <text>
        <r>
          <rPr>
            <b/>
            <sz val="9"/>
            <color indexed="81"/>
            <rFont val="Segoe UI"/>
            <family val="2"/>
          </rPr>
          <t>Inserir a data de entrega do (equipamento, material, software, ou serviço)</t>
        </r>
      </text>
    </comment>
    <comment ref="T22" authorId="0" shapeId="0" xr:uid="{8F03BB3E-DD73-41A8-B6D7-18460F1C181A}">
      <text>
        <r>
          <rPr>
            <b/>
            <sz val="9"/>
            <color indexed="81"/>
            <rFont val="Segoe UI"/>
            <family val="2"/>
          </rPr>
          <t>Inserir o Código do Fornecedor que irá receber o Pagamento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  Jose Barbosa</author>
  </authors>
  <commentList>
    <comment ref="A3" authorId="0" shapeId="0" xr:uid="{EE7ED0C2-B6ED-408E-932C-832ADC0D857C}">
      <text>
        <r>
          <rPr>
            <b/>
            <sz val="9"/>
            <color indexed="81"/>
            <rFont val="Segoe UI"/>
            <family val="2"/>
          </rPr>
          <t>apartir de 01/07/22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4" authorId="0" shapeId="0" xr:uid="{FB20F803-F166-4679-BBC7-9E6C9E3DF2E2}">
      <text>
        <r>
          <rPr>
            <b/>
            <sz val="9"/>
            <color indexed="81"/>
            <rFont val="Segoe UI"/>
            <family val="2"/>
          </rPr>
          <t>apartir de 01/06/22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5" authorId="0" shapeId="0" xr:uid="{4A7A38B7-D96E-4A1E-97B2-939192984BD3}">
      <text>
        <r>
          <rPr>
            <b/>
            <sz val="9"/>
            <color indexed="81"/>
            <rFont val="Segoe UI"/>
            <family val="2"/>
          </rPr>
          <t>apartir de 01/06/22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11" authorId="0" shapeId="0" xr:uid="{47C2DB7F-5BB8-4849-AF23-1CA7E2CEC5B3}">
      <text>
        <r>
          <rPr>
            <b/>
            <sz val="9"/>
            <color indexed="81"/>
            <rFont val="Segoe UI"/>
            <family val="2"/>
          </rPr>
          <t>apartir de 01/07/22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12" authorId="0" shapeId="0" xr:uid="{3A4587B1-DF32-40EA-A839-E5FC3DEEB633}">
      <text>
        <r>
          <rPr>
            <b/>
            <sz val="9"/>
            <color indexed="81"/>
            <rFont val="Segoe UI"/>
            <family val="2"/>
          </rPr>
          <t>apartir de 01/07/22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14" authorId="0" shapeId="0" xr:uid="{D492811A-01FF-4EA5-ABD9-4671C73BD6CA}">
      <text>
        <r>
          <rPr>
            <b/>
            <sz val="9"/>
            <color indexed="81"/>
            <rFont val="Segoe UI"/>
            <family val="2"/>
          </rPr>
          <t>apartir de 01/07/22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17" authorId="0" shapeId="0" xr:uid="{354288CB-1312-48BA-9C40-540D509CDADC}">
      <text>
        <r>
          <rPr>
            <b/>
            <sz val="9"/>
            <color indexed="81"/>
            <rFont val="Segoe UI"/>
            <family val="2"/>
          </rPr>
          <t>apartir de 11/05/22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20" authorId="0" shapeId="0" xr:uid="{29E41DF5-78A9-4632-879A-5DB8C6431E1E}">
      <text>
        <r>
          <rPr>
            <b/>
            <sz val="9"/>
            <color indexed="81"/>
            <rFont val="Segoe UI"/>
            <family val="2"/>
          </rPr>
          <t>apartir de 01/07/22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21" authorId="0" shapeId="0" xr:uid="{A27CFDFD-08F8-490A-B7AE-B151A30F9120}">
      <text>
        <r>
          <rPr>
            <b/>
            <sz val="9"/>
            <color indexed="81"/>
            <rFont val="Segoe UI"/>
            <family val="2"/>
          </rPr>
          <t>apartir de 11/05/22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22" authorId="0" shapeId="0" xr:uid="{81B7DA1E-1356-418D-A4D4-891147F6E9F1}">
      <text>
        <r>
          <rPr>
            <b/>
            <sz val="9"/>
            <color indexed="81"/>
            <rFont val="Segoe UI"/>
            <family val="2"/>
          </rPr>
          <t>apartir de 11/05/22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<sst xmlns="http://schemas.openxmlformats.org/spreadsheetml/2006/main" count="132" uniqueCount="106">
  <si>
    <t>Planilha Tipo IV - Lista de Preços Totais por Estação</t>
  </si>
  <si>
    <t>CB1</t>
  </si>
  <si>
    <t>Objeto Contratual:</t>
  </si>
  <si>
    <t>Elemento PEP:</t>
  </si>
  <si>
    <t>CB2</t>
  </si>
  <si>
    <t>Estação/Lote:</t>
  </si>
  <si>
    <t>Endereço:</t>
  </si>
  <si>
    <t>CódigoSAP</t>
  </si>
  <si>
    <t>Nome</t>
  </si>
  <si>
    <t>CB3</t>
  </si>
  <si>
    <t>Nº Contrato:</t>
  </si>
  <si>
    <t>Fornecedor:</t>
  </si>
  <si>
    <t>CB4</t>
  </si>
  <si>
    <t>Data de Assinatura:</t>
  </si>
  <si>
    <t>US$ 1 = R$</t>
  </si>
  <si>
    <t>Data Base:</t>
  </si>
  <si>
    <t>ITEM</t>
  </si>
  <si>
    <t>FORNEC.</t>
  </si>
  <si>
    <t>DESCRIÇÃO</t>
  </si>
  <si>
    <t>Nº MATERIAL</t>
  </si>
  <si>
    <t>FINAME</t>
  </si>
  <si>
    <t>QTDE</t>
  </si>
  <si>
    <t>PREÇO UNITÁRIO (sem impostos) - R$</t>
  </si>
  <si>
    <t>DATA
ENTREGA</t>
  </si>
  <si>
    <t>ST ANTECIPADO
%</t>
  </si>
  <si>
    <t>ST ANTECIPADO TOTAL
R$</t>
  </si>
  <si>
    <t>PREÇO TOTAL
(sem impostos)-R$</t>
  </si>
  <si>
    <t>IMPOSTOS</t>
  </si>
  <si>
    <t>PREÇO TOTAL</t>
  </si>
  <si>
    <t>ICMS</t>
  </si>
  <si>
    <t>IPI</t>
  </si>
  <si>
    <t>ISSQN</t>
  </si>
  <si>
    <t>%</t>
  </si>
  <si>
    <t>Valor</t>
  </si>
  <si>
    <t>Cod. TIPI</t>
  </si>
  <si>
    <t xml:space="preserve">% </t>
  </si>
  <si>
    <t>(sem ICMS)-R$</t>
  </si>
  <si>
    <t>(com imposto)-R$</t>
  </si>
  <si>
    <t>ALIQ. IPI REFERENTE AO COD TIPI</t>
  </si>
  <si>
    <t>MAT</t>
  </si>
  <si>
    <t>TOT</t>
  </si>
  <si>
    <t>TOTAL GERAL</t>
  </si>
  <si>
    <t>CRONOGRAMA POR EVENTO DE PAGAMENTO</t>
  </si>
  <si>
    <t>ITEM CONTRATUAL</t>
  </si>
  <si>
    <t>DESCRIÇÃO DO EVENTO</t>
  </si>
  <si>
    <t>OPERAÇÃO</t>
  </si>
  <si>
    <t>DATA CONTRATUAL</t>
  </si>
  <si>
    <t>DATA PREVIS. PAGTO</t>
  </si>
  <si>
    <t>VALOR TOTAL (c/imp.)-R$</t>
  </si>
  <si>
    <t>FORNECEDOR</t>
  </si>
  <si>
    <t>VALOR (c/imp.)-R$</t>
  </si>
  <si>
    <t>EVT</t>
  </si>
  <si>
    <t>TOB</t>
  </si>
  <si>
    <t xml:space="preserve">   TOTAL DA OBRA</t>
  </si>
  <si>
    <t>REPNBL</t>
  </si>
  <si>
    <t>CALCULO
DIFAL</t>
  </si>
  <si>
    <t>3GO</t>
  </si>
  <si>
    <t>1RS</t>
  </si>
  <si>
    <t>=&gt;</t>
  </si>
  <si>
    <t>=(S17+U17+W17)*Q17/100</t>
  </si>
  <si>
    <t>1MG</t>
  </si>
  <si>
    <t>AM</t>
  </si>
  <si>
    <t>CE</t>
  </si>
  <si>
    <t>DF</t>
  </si>
  <si>
    <t>RJ</t>
  </si>
  <si>
    <t>RR</t>
  </si>
  <si>
    <t>2SE</t>
  </si>
  <si>
    <t>2TO</t>
  </si>
  <si>
    <t>=(((((O17+(W17/N17)+(U17/N17))/(1-((T17+Q17)/100))))*(((Q17/100)+(T17/100))-(T17/100)))*N17)</t>
  </si>
  <si>
    <t>=((((((S17+W17+U17)-((S17+W17+U17)*T17%))/(((100-(T17+Q17)))/100))*(T17+Q17))/100)-((S17+W17+U17)*T17%))</t>
  </si>
  <si>
    <t>OS DOIS CAMPOS DESCRIÇÃO DEVEM SER PREENCHIDOS;</t>
  </si>
  <si>
    <t>SOMENTE AS CÉLULAS COLORIDAS DEVERÃO SER PREENCHIDAS;</t>
  </si>
  <si>
    <t>AS DATAS DEVERÃO SER FORMATDAS EM DD/MM/AAAA;</t>
  </si>
  <si>
    <t>A ALIQUOTA DO IPI, QUANDO NECESSÁRIO, DEVERÁ SER INCLUÍDO NA COLUNA "AE" ;</t>
  </si>
  <si>
    <t>VERIFICAR O TOTAL COM ICMS COM O VALOR DO SOMATÓRIO (CEL. VERDES) DO QUADRO "CRONOGRAMA POR EVENTO DE PAGAMENTO";</t>
  </si>
  <si>
    <t>OS ARQUIVOS DEVERÃO SER SALVOS COM O NOME DO PEP;</t>
  </si>
  <si>
    <t>PARA O CALCULO DO DIFAL FORAM ATIVADAS AS MACROS DE CALCULO AUTOMÁTICO DAS FORMULAS PREVIAMENTE ESTABELECIDAS NA ABA "CALC_DIFAL_FORMULAS";</t>
  </si>
  <si>
    <t>CASO A COLUNA “R” FIQUE COM O CONTEÚDO DA CÉLULA “#VALOR!”, SIGNIFICA QUE A FORMULA DO CALCULO DO DIFAL NÃO ESTÁ CADASTRADA NA ABA "CALC_DIFAL_FORMULAS";</t>
  </si>
  <si>
    <t>=((((S17+U17+W17)/((100-Q17)/100))*(Q17))/100)</t>
  </si>
  <si>
    <t>1PA</t>
  </si>
  <si>
    <t>1AC</t>
  </si>
  <si>
    <t>1MT</t>
  </si>
  <si>
    <t>O CÓDIGO TIPI (NCM) DEVERÁ SER FORMATADO EM XXXX.XX.XX;</t>
  </si>
  <si>
    <t>OS VALORES DOS IMPOSTOS SÃO AUTOMATICAMENTE CALCULADOS, CONFORME SAP;</t>
  </si>
  <si>
    <t>4PE</t>
  </si>
  <si>
    <t>3AL</t>
  </si>
  <si>
    <r>
      <t xml:space="preserve">PARA O CALCULO DO DIFAL DEVERÁ SER INSERIDO NA COLUNA "L" AS </t>
    </r>
    <r>
      <rPr>
        <b/>
        <sz val="10"/>
        <color rgb="FFFF0000"/>
        <rFont val="Arial"/>
        <family val="2"/>
      </rPr>
      <t>OPÇÕES DE CALCULO: 1, 2, 3 e 4</t>
    </r>
    <r>
      <rPr>
        <b/>
        <sz val="10"/>
        <rFont val="Arial"/>
        <family val="2"/>
      </rPr>
      <t>. CASO O ESTADO NÃO TENHA CALCULO DO DIFAL DEVERÁ FICAR COM A CÉLULA SEM PREENCHIMENTO;</t>
    </r>
  </si>
  <si>
    <t>4PB</t>
  </si>
  <si>
    <t>=(((S17+U17+W17)-((S17+W17+U17)*T17%)))/(1-(Q17+T17)/100)*(((Q17+T17)/100)-((T17/100)))</t>
  </si>
  <si>
    <t>1SP</t>
  </si>
  <si>
    <t>1PR</t>
  </si>
  <si>
    <t>1BA</t>
  </si>
  <si>
    <t>3SC</t>
  </si>
  <si>
    <t>1ES</t>
  </si>
  <si>
    <t>1RO</t>
  </si>
  <si>
    <t>1AP</t>
  </si>
  <si>
    <t>1MA</t>
  </si>
  <si>
    <t>1PI</t>
  </si>
  <si>
    <t>3RN</t>
  </si>
  <si>
    <t>1MS</t>
  </si>
  <si>
    <t>10S</t>
  </si>
  <si>
    <t>SERVIÇO</t>
  </si>
  <si>
    <t>TELEQUIE PROJETOS E TELECOMUNICACOES LTDA</t>
  </si>
  <si>
    <t>M_REDE ACESSO RÁDIO-RAN-SERV-NAC</t>
  </si>
  <si>
    <t>MB5</t>
  </si>
  <si>
    <t>VMG-ACM035-25-TMB5002-S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</si>
</sst>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b/>
      <i/>
      <u/>
      <sz val="14"/>
      <color indexed="62"/>
      <name val="Comic Sans MS"/>
      <family val="4"/>
    </font>
    <font>
      <b/>
      <sz val="10"/>
      <name val="Arial"/>
      <family val="2"/>
    </font>
    <font>
      <sz val="10"/>
      <color indexed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4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0" fontId="1" fillId="0" borderId="0" applyFont="0" applyFill="0" applyBorder="0" applyAlignment="0" applyProtection="0"/>
    <xf numFmtId="0" fontId="1" fillId="0" borderId="0" applyBorder="0"/>
    <xf numFmtId="0" fontId="1" fillId="0" borderId="0" applyBorder="0"/>
  </cellStyleXfs>
  <cellXfs count="205">
    <xf numFmtId="0" fontId="0" fillId="0" borderId="0" xfId="0"/>
    <xf numFmtId="0" fontId="2" fillId="0" borderId="0" xfId="2" applyFont="1"/>
    <xf numFmtId="0" fontId="2" fillId="0" borderId="1" xfId="2" applyFont="1" applyBorder="1"/>
    <xf numFmtId="0" fontId="2" fillId="0" borderId="2" xfId="2" applyFont="1" applyBorder="1"/>
    <xf numFmtId="0" fontId="2" fillId="0" borderId="3" xfId="2" applyFont="1" applyBorder="1"/>
    <xf numFmtId="0" fontId="2" fillId="0" borderId="4" xfId="2" applyFont="1" applyBorder="1"/>
    <xf numFmtId="0" fontId="2" fillId="0" borderId="5" xfId="2" applyFont="1" applyBorder="1"/>
    <xf numFmtId="0" fontId="2" fillId="0" borderId="6" xfId="2" applyFont="1" applyBorder="1" applyAlignment="1">
      <alignment horizontal="center"/>
    </xf>
    <xf numFmtId="0" fontId="2" fillId="0" borderId="0" xfId="2" applyFont="1" applyBorder="1" applyAlignment="1">
      <alignment horizontal="center"/>
    </xf>
    <xf numFmtId="0" fontId="2" fillId="0" borderId="6" xfId="2" applyFont="1" applyBorder="1"/>
    <xf numFmtId="0" fontId="4" fillId="0" borderId="0" xfId="2" applyFont="1" applyBorder="1" applyAlignment="1">
      <alignment horizontal="left"/>
    </xf>
    <xf numFmtId="0" fontId="5" fillId="0" borderId="0" xfId="2" applyFont="1" applyBorder="1" applyAlignment="1">
      <alignment horizontal="center"/>
    </xf>
    <xf numFmtId="0" fontId="4" fillId="0" borderId="0" xfId="2" applyFont="1" applyBorder="1"/>
    <xf numFmtId="164" fontId="4" fillId="4" borderId="7" xfId="2" quotePrefix="1" applyNumberFormat="1" applyFont="1" applyFill="1" applyBorder="1" applyAlignment="1" applyProtection="1">
      <alignment horizontal="left"/>
      <protection locked="0"/>
    </xf>
    <xf numFmtId="2" fontId="4" fillId="4" borderId="8" xfId="2" applyNumberFormat="1" applyFont="1" applyFill="1" applyBorder="1" applyAlignment="1" applyProtection="1">
      <alignment horizontal="left"/>
      <protection locked="0"/>
    </xf>
    <xf numFmtId="0" fontId="4" fillId="0" borderId="0" xfId="2" applyFont="1" applyBorder="1" applyAlignment="1">
      <alignment horizontal="right"/>
    </xf>
    <xf numFmtId="0" fontId="2" fillId="0" borderId="10" xfId="2" applyFont="1" applyBorder="1"/>
    <xf numFmtId="0" fontId="1" fillId="0" borderId="0" xfId="2"/>
    <xf numFmtId="0" fontId="2" fillId="0" borderId="0" xfId="2" applyFont="1" applyBorder="1"/>
    <xf numFmtId="0" fontId="4" fillId="0" borderId="11" xfId="2" applyFont="1" applyBorder="1" applyAlignment="1">
      <alignment horizontal="center"/>
    </xf>
    <xf numFmtId="0" fontId="4" fillId="0" borderId="12" xfId="2" applyFont="1" applyBorder="1" applyAlignment="1">
      <alignment horizontal="center"/>
    </xf>
    <xf numFmtId="0" fontId="4" fillId="0" borderId="13" xfId="2" applyFont="1" applyBorder="1" applyAlignment="1">
      <alignment horizontal="center"/>
    </xf>
    <xf numFmtId="1" fontId="2" fillId="4" borderId="14" xfId="2" applyNumberFormat="1" applyFont="1" applyFill="1" applyBorder="1" applyAlignment="1" applyProtection="1">
      <alignment horizontal="center"/>
      <protection locked="0"/>
    </xf>
    <xf numFmtId="1" fontId="2" fillId="0" borderId="14" xfId="2" applyNumberFormat="1" applyFont="1" applyBorder="1" applyAlignment="1">
      <alignment horizontal="center"/>
    </xf>
    <xf numFmtId="40" fontId="2" fillId="4" borderId="14" xfId="2" applyNumberFormat="1" applyFont="1" applyFill="1" applyBorder="1" applyAlignment="1" applyProtection="1">
      <alignment horizontal="center"/>
      <protection locked="0"/>
    </xf>
    <xf numFmtId="164" fontId="2" fillId="0" borderId="14" xfId="2" applyNumberFormat="1" applyFont="1" applyBorder="1" applyAlignment="1">
      <alignment horizontal="center"/>
    </xf>
    <xf numFmtId="40" fontId="2" fillId="0" borderId="14" xfId="2" applyNumberFormat="1" applyFont="1" applyBorder="1" applyAlignment="1">
      <alignment horizontal="right"/>
    </xf>
    <xf numFmtId="2" fontId="2" fillId="4" borderId="14" xfId="2" quotePrefix="1" applyNumberFormat="1" applyFont="1" applyFill="1" applyBorder="1" applyAlignment="1" applyProtection="1">
      <alignment horizontal="center"/>
      <protection locked="0"/>
    </xf>
    <xf numFmtId="2" fontId="2" fillId="4" borderId="14" xfId="2" applyNumberFormat="1" applyFont="1" applyFill="1" applyBorder="1" applyAlignment="1" applyProtection="1">
      <alignment horizontal="center"/>
      <protection locked="0"/>
    </xf>
    <xf numFmtId="40" fontId="2" fillId="0" borderId="15" xfId="2" applyNumberFormat="1" applyFont="1" applyBorder="1" applyAlignment="1">
      <alignment horizontal="right"/>
    </xf>
    <xf numFmtId="165" fontId="2" fillId="2" borderId="16" xfId="1" applyNumberFormat="1" applyFont="1" applyFill="1" applyBorder="1" applyAlignment="1" applyProtection="1">
      <alignment horizontal="right"/>
      <protection locked="0"/>
    </xf>
    <xf numFmtId="0" fontId="2" fillId="0" borderId="4" xfId="2" applyFont="1" applyBorder="1" applyAlignment="1">
      <alignment vertical="center"/>
    </xf>
    <xf numFmtId="40" fontId="4" fillId="0" borderId="17" xfId="2" applyNumberFormat="1" applyFont="1" applyBorder="1" applyAlignment="1">
      <alignment horizontal="right" vertical="center"/>
    </xf>
    <xf numFmtId="40" fontId="4" fillId="3" borderId="17" xfId="2" applyNumberFormat="1" applyFont="1" applyFill="1" applyBorder="1" applyAlignment="1">
      <alignment horizontal="right" vertical="center"/>
    </xf>
    <xf numFmtId="0" fontId="2" fillId="0" borderId="5" xfId="2" applyFont="1" applyBorder="1" applyAlignment="1">
      <alignment vertical="center"/>
    </xf>
    <xf numFmtId="0" fontId="2" fillId="0" borderId="0" xfId="2" applyFont="1" applyAlignment="1">
      <alignment vertical="center"/>
    </xf>
    <xf numFmtId="0" fontId="2" fillId="0" borderId="18" xfId="2" applyFont="1" applyBorder="1"/>
    <xf numFmtId="0" fontId="2" fillId="0" borderId="19" xfId="2" applyFont="1" applyBorder="1" applyAlignment="1">
      <alignment horizontal="center"/>
    </xf>
    <xf numFmtId="0" fontId="2" fillId="0" borderId="19" xfId="2" applyFont="1" applyBorder="1"/>
    <xf numFmtId="0" fontId="2" fillId="0" borderId="20" xfId="2" applyFont="1" applyBorder="1"/>
    <xf numFmtId="2" fontId="2" fillId="0" borderId="0" xfId="2" applyNumberFormat="1" applyFont="1" applyBorder="1"/>
    <xf numFmtId="2" fontId="2" fillId="0" borderId="0" xfId="2" applyNumberFormat="1" applyFont="1"/>
    <xf numFmtId="0" fontId="6" fillId="0" borderId="0" xfId="2" applyFont="1"/>
    <xf numFmtId="0" fontId="6" fillId="0" borderId="0" xfId="2" applyFont="1" applyBorder="1" applyAlignment="1">
      <alignment horizontal="center"/>
    </xf>
    <xf numFmtId="0" fontId="7" fillId="0" borderId="0" xfId="2" applyFont="1" applyBorder="1"/>
    <xf numFmtId="0" fontId="2" fillId="0" borderId="0" xfId="2" quotePrefix="1" applyFont="1" applyBorder="1" applyAlignment="1">
      <alignment horizontal="left"/>
    </xf>
    <xf numFmtId="2" fontId="2" fillId="0" borderId="0" xfId="2" applyNumberFormat="1" applyFont="1" applyBorder="1" applyAlignment="1">
      <alignment horizontal="left"/>
    </xf>
    <xf numFmtId="0" fontId="2" fillId="0" borderId="0" xfId="2" applyFont="1" applyAlignment="1">
      <alignment horizontal="center"/>
    </xf>
    <xf numFmtId="0" fontId="2" fillId="0" borderId="0" xfId="2" quotePrefix="1" applyFont="1" applyBorder="1"/>
    <xf numFmtId="40" fontId="2" fillId="0" borderId="0" xfId="2" applyNumberFormat="1" applyFont="1" applyBorder="1"/>
    <xf numFmtId="40" fontId="2" fillId="0" borderId="19" xfId="2" applyNumberFormat="1" applyFont="1" applyBorder="1" applyAlignment="1">
      <alignment horizontal="center"/>
    </xf>
    <xf numFmtId="0" fontId="2" fillId="0" borderId="0" xfId="2" applyFont="1" applyAlignment="1">
      <alignment horizontal="center" vertical="center"/>
    </xf>
    <xf numFmtId="0" fontId="6" fillId="0" borderId="0" xfId="2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2" fontId="2" fillId="5" borderId="14" xfId="2" applyNumberFormat="1" applyFont="1" applyFill="1" applyBorder="1" applyAlignment="1" applyProtection="1">
      <alignment horizontal="center"/>
      <protection locked="0"/>
    </xf>
    <xf numFmtId="0" fontId="2" fillId="0" borderId="0" xfId="3" applyFont="1" applyBorder="1"/>
    <xf numFmtId="0" fontId="4" fillId="0" borderId="0" xfId="3" applyFont="1" applyBorder="1"/>
    <xf numFmtId="0" fontId="2" fillId="0" borderId="0" xfId="3" quotePrefix="1" applyFont="1" applyBorder="1" applyAlignment="1">
      <alignment horizontal="left"/>
    </xf>
    <xf numFmtId="0" fontId="2" fillId="0" borderId="0" xfId="3" applyFont="1"/>
    <xf numFmtId="0" fontId="4" fillId="0" borderId="0" xfId="3" quotePrefix="1" applyFont="1" applyAlignment="1">
      <alignment horizontal="right"/>
    </xf>
    <xf numFmtId="0" fontId="4" fillId="0" borderId="0" xfId="3" applyFont="1"/>
    <xf numFmtId="14" fontId="2" fillId="0" borderId="0" xfId="3" applyNumberFormat="1" applyFont="1"/>
    <xf numFmtId="2" fontId="2" fillId="0" borderId="0" xfId="3" applyNumberFormat="1" applyFont="1"/>
    <xf numFmtId="0" fontId="4" fillId="6" borderId="0" xfId="3" quotePrefix="1" applyFont="1" applyFill="1" applyAlignment="1">
      <alignment horizontal="right"/>
    </xf>
    <xf numFmtId="0" fontId="4" fillId="6" borderId="0" xfId="3" applyFont="1" applyFill="1"/>
    <xf numFmtId="0" fontId="2" fillId="6" borderId="0" xfId="3" applyFont="1" applyFill="1"/>
    <xf numFmtId="0" fontId="0" fillId="6" borderId="0" xfId="0" applyFill="1"/>
    <xf numFmtId="40" fontId="2" fillId="0" borderId="0" xfId="3" applyNumberFormat="1" applyFont="1"/>
    <xf numFmtId="40" fontId="2" fillId="0" borderId="0" xfId="3" quotePrefix="1" applyNumberFormat="1" applyFont="1"/>
    <xf numFmtId="2" fontId="2" fillId="0" borderId="0" xfId="3" quotePrefix="1" applyNumberFormat="1" applyFont="1"/>
    <xf numFmtId="0" fontId="2" fillId="0" borderId="0" xfId="3" quotePrefix="1" applyFont="1"/>
    <xf numFmtId="4" fontId="2" fillId="0" borderId="0" xfId="3" applyNumberFormat="1" applyFont="1"/>
    <xf numFmtId="0" fontId="2" fillId="4" borderId="53" xfId="2" applyFont="1" applyFill="1" applyBorder="1" applyAlignment="1" applyProtection="1">
      <alignment horizontal="center"/>
      <protection locked="0"/>
    </xf>
    <xf numFmtId="1" fontId="2" fillId="4" borderId="54" xfId="2" applyNumberFormat="1" applyFont="1" applyFill="1" applyBorder="1" applyAlignment="1" applyProtection="1">
      <alignment horizontal="center"/>
      <protection locked="0"/>
    </xf>
    <xf numFmtId="0" fontId="2" fillId="4" borderId="55" xfId="2" applyFont="1" applyFill="1" applyBorder="1" applyProtection="1">
      <protection locked="0"/>
    </xf>
    <xf numFmtId="0" fontId="2" fillId="4" borderId="56" xfId="2" applyFont="1" applyFill="1" applyBorder="1" applyAlignment="1" applyProtection="1">
      <alignment horizontal="center"/>
      <protection locked="0"/>
    </xf>
    <xf numFmtId="1" fontId="2" fillId="4" borderId="54" xfId="2" applyNumberFormat="1" applyFont="1" applyFill="1" applyBorder="1" applyProtection="1">
      <protection locked="0"/>
    </xf>
    <xf numFmtId="1" fontId="2" fillId="5" borderId="54" xfId="2" applyNumberFormat="1" applyFont="1" applyFill="1" applyBorder="1" applyAlignment="1" applyProtection="1">
      <alignment horizontal="center"/>
      <protection locked="0"/>
    </xf>
    <xf numFmtId="0" fontId="4" fillId="4" borderId="8" xfId="2" applyFont="1" applyFill="1" applyBorder="1" applyAlignment="1" applyProtection="1">
      <alignment horizontal="left"/>
      <protection locked="0"/>
    </xf>
    <xf numFmtId="0" fontId="4" fillId="2" borderId="9" xfId="2" applyFont="1" applyFill="1" applyBorder="1" applyAlignment="1" applyProtection="1">
      <alignment horizontal="left"/>
      <protection locked="0"/>
    </xf>
    <xf numFmtId="0" fontId="4" fillId="2" borderId="8" xfId="2" applyFont="1" applyFill="1" applyBorder="1" applyAlignment="1" applyProtection="1">
      <alignment horizontal="center"/>
      <protection locked="0"/>
    </xf>
    <xf numFmtId="1" fontId="4" fillId="2" borderId="8" xfId="2" applyNumberFormat="1" applyFont="1" applyFill="1" applyBorder="1" applyAlignment="1" applyProtection="1">
      <alignment horizontal="left"/>
      <protection locked="0"/>
    </xf>
    <xf numFmtId="49" fontId="0" fillId="10" borderId="57" xfId="0" applyNumberFormat="1" applyFill="1" applyBorder="1"/>
    <xf numFmtId="49" fontId="0" fillId="10" borderId="15" xfId="0" applyNumberFormat="1" applyFill="1" applyBorder="1"/>
    <xf numFmtId="49" fontId="0" fillId="10" borderId="58" xfId="0" applyNumberFormat="1" applyFill="1" applyBorder="1"/>
    <xf numFmtId="49" fontId="0" fillId="10" borderId="59" xfId="0" applyNumberFormat="1" applyFill="1" applyBorder="1"/>
    <xf numFmtId="49" fontId="0" fillId="9" borderId="57" xfId="0" applyNumberFormat="1" applyFill="1" applyBorder="1"/>
    <xf numFmtId="49" fontId="0" fillId="9" borderId="15" xfId="0" applyNumberFormat="1" applyFill="1" applyBorder="1"/>
    <xf numFmtId="49" fontId="0" fillId="9" borderId="60" xfId="0" applyNumberFormat="1" applyFill="1" applyBorder="1"/>
    <xf numFmtId="49" fontId="0" fillId="9" borderId="61" xfId="0" applyNumberFormat="1" applyFill="1" applyBorder="1"/>
    <xf numFmtId="49" fontId="0" fillId="7" borderId="57" xfId="0" applyNumberFormat="1" applyFill="1" applyBorder="1"/>
    <xf numFmtId="49" fontId="0" fillId="7" borderId="15" xfId="0" applyNumberFormat="1" applyFill="1" applyBorder="1"/>
    <xf numFmtId="49" fontId="0" fillId="7" borderId="58" xfId="0" applyNumberFormat="1" applyFill="1" applyBorder="1"/>
    <xf numFmtId="49" fontId="0" fillId="7" borderId="59" xfId="0" applyNumberFormat="1" applyFill="1" applyBorder="1"/>
    <xf numFmtId="49" fontId="0" fillId="7" borderId="60" xfId="0" applyNumberFormat="1" applyFill="1" applyBorder="1"/>
    <xf numFmtId="49" fontId="0" fillId="7" borderId="61" xfId="0" applyNumberFormat="1" applyFill="1" applyBorder="1"/>
    <xf numFmtId="49" fontId="11" fillId="10" borderId="58" xfId="0" applyNumberFormat="1" applyFont="1" applyFill="1" applyBorder="1"/>
    <xf numFmtId="49" fontId="12" fillId="10" borderId="58" xfId="0" applyNumberFormat="1" applyFont="1" applyFill="1" applyBorder="1"/>
    <xf numFmtId="49" fontId="11" fillId="10" borderId="59" xfId="0" applyNumberFormat="1" applyFont="1" applyFill="1" applyBorder="1"/>
    <xf numFmtId="0" fontId="11" fillId="0" borderId="0" xfId="0" applyFont="1"/>
    <xf numFmtId="49" fontId="0" fillId="10" borderId="62" xfId="0" applyNumberFormat="1" applyFill="1" applyBorder="1"/>
    <xf numFmtId="49" fontId="0" fillId="10" borderId="63" xfId="0" applyNumberFormat="1" applyFill="1" applyBorder="1"/>
    <xf numFmtId="49" fontId="0" fillId="10" borderId="60" xfId="0" applyNumberFormat="1" applyFill="1" applyBorder="1"/>
    <xf numFmtId="49" fontId="0" fillId="10" borderId="61" xfId="0" applyNumberFormat="1" applyFill="1" applyBorder="1"/>
    <xf numFmtId="49" fontId="0" fillId="9" borderId="58" xfId="0" applyNumberFormat="1" applyFill="1" applyBorder="1"/>
    <xf numFmtId="49" fontId="0" fillId="9" borderId="59" xfId="0" applyNumberFormat="1" applyFill="1" applyBorder="1"/>
    <xf numFmtId="49" fontId="0" fillId="8" borderId="57" xfId="0" applyNumberFormat="1" applyFill="1" applyBorder="1"/>
    <xf numFmtId="49" fontId="0" fillId="8" borderId="15" xfId="0" applyNumberFormat="1" applyFill="1" applyBorder="1"/>
    <xf numFmtId="49" fontId="0" fillId="8" borderId="58" xfId="0" applyNumberFormat="1" applyFill="1" applyBorder="1"/>
    <xf numFmtId="49" fontId="0" fillId="8" borderId="59" xfId="0" applyNumberFormat="1" applyFill="1" applyBorder="1"/>
    <xf numFmtId="49" fontId="0" fillId="8" borderId="60" xfId="0" applyNumberFormat="1" applyFill="1" applyBorder="1"/>
    <xf numFmtId="49" fontId="0" fillId="8" borderId="61" xfId="0" applyNumberFormat="1" applyFill="1" applyBorder="1"/>
    <xf numFmtId="0" fontId="4" fillId="2" borderId="7" xfId="2" applyFont="1" applyFill="1" applyBorder="1" applyAlignment="1" applyProtection="1">
      <protection locked="0"/>
    </xf>
    <xf numFmtId="0" fontId="4" fillId="2" borderId="8" xfId="2" applyFont="1" applyFill="1" applyBorder="1" applyAlignment="1" applyProtection="1">
      <alignment horizontal="left"/>
      <protection locked="0"/>
    </xf>
    <xf numFmtId="164" fontId="4" fillId="4" borderId="9" xfId="2" applyNumberFormat="1" applyFont="1" applyFill="1" applyBorder="1" applyAlignment="1" applyProtection="1">
      <alignment horizontal="left"/>
      <protection locked="0"/>
    </xf>
    <xf numFmtId="1" fontId="2" fillId="4" borderId="38" xfId="2" applyNumberFormat="1" applyFont="1" applyFill="1" applyBorder="1" applyAlignment="1" applyProtection="1">
      <alignment horizontal="center"/>
      <protection locked="0"/>
    </xf>
    <xf numFmtId="1" fontId="2" fillId="4" borderId="37" xfId="2" applyNumberFormat="1" applyFont="1" applyFill="1" applyBorder="1" applyAlignment="1" applyProtection="1">
      <alignment horizontal="center"/>
      <protection locked="0"/>
    </xf>
    <xf numFmtId="0" fontId="4" fillId="0" borderId="46" xfId="2" applyFont="1" applyBorder="1" applyAlignment="1">
      <alignment horizontal="center" vertical="center"/>
    </xf>
    <xf numFmtId="0" fontId="4" fillId="0" borderId="47" xfId="2" applyFont="1" applyBorder="1" applyAlignment="1">
      <alignment horizontal="center" vertical="center"/>
    </xf>
    <xf numFmtId="0" fontId="4" fillId="0" borderId="48" xfId="2" applyFont="1" applyBorder="1" applyAlignment="1">
      <alignment horizontal="center" vertical="center"/>
    </xf>
    <xf numFmtId="40" fontId="4" fillId="3" borderId="49" xfId="2" quotePrefix="1" applyNumberFormat="1" applyFont="1" applyFill="1" applyBorder="1" applyAlignment="1">
      <alignment horizontal="center"/>
    </xf>
    <xf numFmtId="40" fontId="4" fillId="3" borderId="47" xfId="2" applyNumberFormat="1" applyFont="1" applyFill="1" applyBorder="1" applyAlignment="1">
      <alignment horizontal="center"/>
    </xf>
    <xf numFmtId="0" fontId="2" fillId="0" borderId="49" xfId="2" applyFont="1" applyBorder="1" applyAlignment="1" applyProtection="1">
      <alignment horizontal="center"/>
      <protection locked="0"/>
    </xf>
    <xf numFmtId="0" fontId="2" fillId="0" borderId="48" xfId="2" applyFont="1" applyBorder="1" applyAlignment="1" applyProtection="1">
      <alignment horizontal="center"/>
      <protection locked="0"/>
    </xf>
    <xf numFmtId="40" fontId="2" fillId="0" borderId="49" xfId="2" quotePrefix="1" applyNumberFormat="1" applyFont="1" applyBorder="1" applyAlignment="1" applyProtection="1">
      <alignment horizontal="center"/>
      <protection locked="0"/>
    </xf>
    <xf numFmtId="40" fontId="2" fillId="0" borderId="50" xfId="2" applyNumberFormat="1" applyFont="1" applyBorder="1" applyAlignment="1" applyProtection="1">
      <alignment horizontal="center"/>
      <protection locked="0"/>
    </xf>
    <xf numFmtId="0" fontId="2" fillId="4" borderId="51" xfId="2" applyFont="1" applyFill="1" applyBorder="1" applyAlignment="1" applyProtection="1">
      <alignment horizontal="center"/>
      <protection locked="0"/>
    </xf>
    <xf numFmtId="0" fontId="2" fillId="4" borderId="7" xfId="2" applyFont="1" applyFill="1" applyBorder="1" applyAlignment="1" applyProtection="1">
      <alignment horizontal="center"/>
      <protection locked="0"/>
    </xf>
    <xf numFmtId="0" fontId="2" fillId="4" borderId="37" xfId="2" applyFont="1" applyFill="1" applyBorder="1" applyAlignment="1" applyProtection="1">
      <alignment horizontal="center"/>
      <protection locked="0"/>
    </xf>
    <xf numFmtId="9" fontId="2" fillId="4" borderId="38" xfId="2" applyNumberFormat="1" applyFont="1" applyFill="1" applyBorder="1" applyAlignment="1" applyProtection="1">
      <alignment horizontal="left"/>
      <protection locked="0"/>
    </xf>
    <xf numFmtId="0" fontId="2" fillId="4" borderId="7" xfId="2" applyFont="1" applyFill="1" applyBorder="1" applyAlignment="1" applyProtection="1">
      <alignment horizontal="left"/>
      <protection locked="0"/>
    </xf>
    <xf numFmtId="49" fontId="2" fillId="4" borderId="38" xfId="2" applyNumberFormat="1" applyFont="1" applyFill="1" applyBorder="1" applyAlignment="1" applyProtection="1">
      <alignment horizontal="center"/>
      <protection locked="0"/>
    </xf>
    <xf numFmtId="49" fontId="2" fillId="4" borderId="37" xfId="2" applyNumberFormat="1" applyFont="1" applyFill="1" applyBorder="1" applyAlignment="1" applyProtection="1">
      <alignment horizontal="center"/>
      <protection locked="0"/>
    </xf>
    <xf numFmtId="40" fontId="2" fillId="4" borderId="38" xfId="2" quotePrefix="1" applyNumberFormat="1" applyFont="1" applyFill="1" applyBorder="1" applyAlignment="1" applyProtection="1">
      <alignment horizontal="center"/>
      <protection locked="0"/>
    </xf>
    <xf numFmtId="40" fontId="2" fillId="4" borderId="52" xfId="2" applyNumberFormat="1" applyFont="1" applyFill="1" applyBorder="1" applyAlignment="1" applyProtection="1">
      <alignment horizontal="center"/>
      <protection locked="0"/>
    </xf>
    <xf numFmtId="164" fontId="2" fillId="4" borderId="38" xfId="2" applyNumberFormat="1" applyFont="1" applyFill="1" applyBorder="1" applyAlignment="1" applyProtection="1">
      <alignment horizontal="center"/>
      <protection locked="0"/>
    </xf>
    <xf numFmtId="164" fontId="2" fillId="4" borderId="37" xfId="2" applyNumberFormat="1" applyFont="1" applyFill="1" applyBorder="1" applyAlignment="1" applyProtection="1">
      <alignment horizontal="center"/>
      <protection locked="0"/>
    </xf>
    <xf numFmtId="164" fontId="2" fillId="4" borderId="7" xfId="2" applyNumberFormat="1" applyFont="1" applyFill="1" applyBorder="1" applyAlignment="1" applyProtection="1">
      <alignment horizontal="center"/>
      <protection locked="0"/>
    </xf>
    <xf numFmtId="40" fontId="4" fillId="4" borderId="38" xfId="2" applyNumberFormat="1" applyFont="1" applyFill="1" applyBorder="1" applyAlignment="1" applyProtection="1">
      <alignment horizontal="center"/>
      <protection locked="0"/>
    </xf>
    <xf numFmtId="40" fontId="4" fillId="4" borderId="7" xfId="2" applyNumberFormat="1" applyFont="1" applyFill="1" applyBorder="1" applyAlignment="1" applyProtection="1">
      <alignment horizontal="center"/>
      <protection locked="0"/>
    </xf>
    <xf numFmtId="0" fontId="7" fillId="0" borderId="42" xfId="2" applyFont="1" applyBorder="1" applyAlignment="1">
      <alignment horizontal="center"/>
    </xf>
    <xf numFmtId="0" fontId="7" fillId="0" borderId="44" xfId="2" applyFont="1" applyBorder="1" applyAlignment="1">
      <alignment horizontal="center"/>
    </xf>
    <xf numFmtId="0" fontId="7" fillId="0" borderId="43" xfId="2" applyFont="1" applyBorder="1" applyAlignment="1">
      <alignment horizontal="center"/>
    </xf>
    <xf numFmtId="0" fontId="4" fillId="0" borderId="27" xfId="2" applyFont="1" applyBorder="1" applyAlignment="1">
      <alignment horizontal="center" vertical="center"/>
    </xf>
    <xf numFmtId="0" fontId="4" fillId="0" borderId="28" xfId="2" applyFont="1" applyBorder="1" applyAlignment="1">
      <alignment horizontal="center" vertical="center"/>
    </xf>
    <xf numFmtId="0" fontId="7" fillId="0" borderId="41" xfId="2" applyFont="1" applyBorder="1" applyAlignment="1">
      <alignment horizontal="center"/>
    </xf>
    <xf numFmtId="0" fontId="7" fillId="0" borderId="45" xfId="2" applyFont="1" applyBorder="1" applyAlignment="1">
      <alignment horizontal="center"/>
    </xf>
    <xf numFmtId="0" fontId="7" fillId="0" borderId="40" xfId="2" applyFont="1" applyBorder="1" applyAlignment="1">
      <alignment horizontal="center"/>
    </xf>
    <xf numFmtId="0" fontId="4" fillId="5" borderId="23" xfId="2" applyFont="1" applyFill="1" applyBorder="1" applyAlignment="1">
      <alignment horizontal="center" vertical="center" wrapText="1"/>
    </xf>
    <xf numFmtId="0" fontId="1" fillId="5" borderId="24" xfId="2" applyFill="1" applyBorder="1" applyAlignment="1">
      <alignment horizontal="center" vertical="center" wrapText="1"/>
    </xf>
    <xf numFmtId="0" fontId="4" fillId="0" borderId="23" xfId="2" applyFont="1" applyBorder="1" applyAlignment="1">
      <alignment horizontal="center" vertical="center" wrapText="1"/>
    </xf>
    <xf numFmtId="0" fontId="4" fillId="0" borderId="24" xfId="2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0" xfId="2" applyFont="1" applyBorder="1" applyAlignment="1">
      <alignment horizontal="center" vertical="center" wrapText="1"/>
    </xf>
    <xf numFmtId="0" fontId="1" fillId="0" borderId="31" xfId="2" applyBorder="1"/>
    <xf numFmtId="0" fontId="4" fillId="0" borderId="21" xfId="2" applyFont="1" applyBorder="1" applyAlignment="1">
      <alignment horizontal="center" vertical="center" wrapText="1"/>
    </xf>
    <xf numFmtId="0" fontId="1" fillId="0" borderId="6" xfId="2" applyBorder="1"/>
    <xf numFmtId="0" fontId="4" fillId="5" borderId="30" xfId="2" applyFont="1" applyFill="1" applyBorder="1" applyAlignment="1">
      <alignment horizontal="center" vertical="center" wrapText="1"/>
    </xf>
    <xf numFmtId="0" fontId="1" fillId="5" borderId="31" xfId="2" applyFill="1" applyBorder="1" applyAlignment="1">
      <alignment horizontal="center" vertical="center" wrapText="1"/>
    </xf>
    <xf numFmtId="0" fontId="4" fillId="0" borderId="33" xfId="2" applyFont="1" applyBorder="1" applyAlignment="1">
      <alignment horizontal="center"/>
    </xf>
    <xf numFmtId="0" fontId="4" fillId="0" borderId="34" xfId="2" applyFont="1" applyBorder="1" applyAlignment="1">
      <alignment horizontal="center"/>
    </xf>
    <xf numFmtId="0" fontId="4" fillId="0" borderId="35" xfId="2" applyFont="1" applyBorder="1" applyAlignment="1">
      <alignment horizontal="center"/>
    </xf>
    <xf numFmtId="0" fontId="4" fillId="0" borderId="36" xfId="2" applyFont="1" applyBorder="1" applyAlignment="1">
      <alignment horizontal="center"/>
    </xf>
    <xf numFmtId="0" fontId="4" fillId="0" borderId="37" xfId="2" applyFont="1" applyBorder="1" applyAlignment="1">
      <alignment horizontal="center"/>
    </xf>
    <xf numFmtId="0" fontId="4" fillId="0" borderId="38" xfId="2" applyFont="1" applyBorder="1" applyAlignment="1">
      <alignment horizontal="center"/>
    </xf>
    <xf numFmtId="0" fontId="4" fillId="0" borderId="39" xfId="2" applyFont="1" applyBorder="1" applyAlignment="1">
      <alignment horizontal="center"/>
    </xf>
    <xf numFmtId="0" fontId="4" fillId="0" borderId="0" xfId="2" applyFont="1" applyBorder="1" applyAlignment="1">
      <alignment horizontal="left"/>
    </xf>
    <xf numFmtId="0" fontId="4" fillId="0" borderId="0" xfId="2" applyFont="1" applyBorder="1" applyAlignment="1">
      <alignment horizontal="center"/>
    </xf>
    <xf numFmtId="0" fontId="2" fillId="0" borderId="27" xfId="2" applyFont="1" applyBorder="1" applyAlignment="1">
      <alignment horizontal="center"/>
    </xf>
    <xf numFmtId="0" fontId="2" fillId="0" borderId="28" xfId="2" applyFont="1" applyBorder="1" applyAlignment="1">
      <alignment horizontal="center"/>
    </xf>
    <xf numFmtId="0" fontId="2" fillId="0" borderId="29" xfId="2" applyFont="1" applyBorder="1" applyAlignment="1">
      <alignment horizontal="center"/>
    </xf>
    <xf numFmtId="0" fontId="4" fillId="0" borderId="30" xfId="2" applyFont="1" applyBorder="1" applyAlignment="1">
      <alignment horizontal="center" vertical="center"/>
    </xf>
    <xf numFmtId="0" fontId="4" fillId="0" borderId="31" xfId="2" applyFont="1" applyBorder="1" applyAlignment="1">
      <alignment horizontal="center" vertical="center"/>
    </xf>
    <xf numFmtId="0" fontId="4" fillId="0" borderId="22" xfId="2" applyFont="1" applyBorder="1" applyAlignment="1">
      <alignment horizontal="center" vertical="center" wrapText="1"/>
    </xf>
    <xf numFmtId="0" fontId="4" fillId="0" borderId="0" xfId="2" applyFont="1" applyBorder="1" applyAlignment="1">
      <alignment horizontal="center" vertical="center" wrapText="1"/>
    </xf>
    <xf numFmtId="0" fontId="4" fillId="0" borderId="21" xfId="2" applyFont="1" applyBorder="1" applyAlignment="1">
      <alignment horizontal="center" vertical="center"/>
    </xf>
    <xf numFmtId="0" fontId="4" fillId="0" borderId="22" xfId="2" applyFont="1" applyBorder="1" applyAlignment="1">
      <alignment horizontal="center" vertical="center"/>
    </xf>
    <xf numFmtId="0" fontId="4" fillId="0" borderId="23" xfId="2" applyFont="1" applyBorder="1" applyAlignment="1">
      <alignment horizontal="center" vertical="center"/>
    </xf>
    <xf numFmtId="0" fontId="4" fillId="0" borderId="6" xfId="2" applyFont="1" applyBorder="1" applyAlignment="1">
      <alignment horizontal="center" vertical="center"/>
    </xf>
    <xf numFmtId="0" fontId="4" fillId="0" borderId="0" xfId="2" applyFont="1" applyBorder="1" applyAlignment="1">
      <alignment horizontal="center" vertical="center"/>
    </xf>
    <xf numFmtId="0" fontId="4" fillId="0" borderId="24" xfId="2" applyFont="1" applyBorder="1" applyAlignment="1">
      <alignment horizontal="center" vertical="center"/>
    </xf>
    <xf numFmtId="0" fontId="4" fillId="0" borderId="29" xfId="2" applyFont="1" applyBorder="1" applyAlignment="1">
      <alignment horizontal="center" vertical="center"/>
    </xf>
    <xf numFmtId="0" fontId="4" fillId="0" borderId="17" xfId="2" applyFont="1" applyBorder="1" applyAlignment="1">
      <alignment horizontal="center" vertical="center"/>
    </xf>
    <xf numFmtId="0" fontId="4" fillId="0" borderId="32" xfId="2" applyFont="1" applyBorder="1" applyAlignment="1">
      <alignment horizontal="center" vertical="center"/>
    </xf>
    <xf numFmtId="0" fontId="4" fillId="0" borderId="9" xfId="2" applyFont="1" applyBorder="1" applyAlignment="1">
      <alignment horizontal="center" vertical="center"/>
    </xf>
    <xf numFmtId="0" fontId="4" fillId="5" borderId="30" xfId="0" applyFont="1" applyFill="1" applyBorder="1" applyAlignment="1">
      <alignment horizontal="center" vertical="center" wrapText="1"/>
    </xf>
    <xf numFmtId="0" fontId="4" fillId="5" borderId="31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21" xfId="2" applyFont="1" applyBorder="1" applyAlignment="1">
      <alignment horizontal="center"/>
    </xf>
    <xf numFmtId="0" fontId="2" fillId="0" borderId="22" xfId="2" applyFont="1" applyBorder="1" applyAlignment="1">
      <alignment horizontal="center"/>
    </xf>
    <xf numFmtId="0" fontId="2" fillId="0" borderId="23" xfId="2" applyFont="1" applyBorder="1" applyAlignment="1">
      <alignment horizontal="center"/>
    </xf>
    <xf numFmtId="0" fontId="3" fillId="0" borderId="6" xfId="2" applyFont="1" applyBorder="1" applyAlignment="1">
      <alignment horizontal="center"/>
    </xf>
    <xf numFmtId="0" fontId="3" fillId="0" borderId="0" xfId="2" applyFont="1" applyBorder="1" applyAlignment="1">
      <alignment horizontal="center"/>
    </xf>
    <xf numFmtId="0" fontId="3" fillId="0" borderId="24" xfId="2" applyFont="1" applyBorder="1" applyAlignment="1">
      <alignment horizontal="center"/>
    </xf>
    <xf numFmtId="0" fontId="2" fillId="0" borderId="6" xfId="2" applyFont="1" applyBorder="1" applyAlignment="1">
      <alignment horizontal="center"/>
    </xf>
    <xf numFmtId="0" fontId="2" fillId="0" borderId="0" xfId="2" applyFont="1" applyBorder="1" applyAlignment="1">
      <alignment horizontal="center"/>
    </xf>
    <xf numFmtId="0" fontId="2" fillId="0" borderId="24" xfId="2" applyFont="1" applyBorder="1" applyAlignment="1">
      <alignment horizontal="center"/>
    </xf>
    <xf numFmtId="0" fontId="4" fillId="0" borderId="24" xfId="2" applyFont="1" applyBorder="1" applyAlignment="1">
      <alignment horizontal="center"/>
    </xf>
    <xf numFmtId="0" fontId="5" fillId="0" borderId="25" xfId="2" applyFont="1" applyBorder="1" applyAlignment="1">
      <alignment horizontal="center"/>
    </xf>
    <xf numFmtId="0" fontId="4" fillId="4" borderId="26" xfId="2" applyFont="1" applyFill="1" applyBorder="1" applyAlignment="1" applyProtection="1">
      <alignment horizontal="left"/>
      <protection locked="0"/>
    </xf>
    <xf numFmtId="0" fontId="4" fillId="4" borderId="8" xfId="2" applyFont="1" applyFill="1" applyBorder="1" applyAlignment="1" applyProtection="1">
      <alignment horizontal="left"/>
      <protection locked="0"/>
    </xf>
    <xf numFmtId="1" fontId="4" fillId="2" borderId="8" xfId="2" applyNumberFormat="1" applyFont="1" applyFill="1" applyBorder="1" applyAlignment="1" applyProtection="1">
      <alignment horizontal="center"/>
      <protection locked="0"/>
    </xf>
  </cellXfs>
  <cellStyles count="4">
    <cellStyle name="Comma 2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3" name="Text Box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5" name="Text Box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6" name="Text Box 1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7" name="Text Box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8" name="Text Box 1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9" name="Text Box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11" name="Text Box 1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12" name="Text Box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14" name="Text Box 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15" name="Text Box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16" name="Text Box 1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17" name="Text Box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18" name="Text Box 1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19" name="Text Box 5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76200</xdr:colOff>
      <xdr:row>26</xdr:row>
      <xdr:rowOff>38100</xdr:rowOff>
    </xdr:to>
    <xdr:sp macro="" textlink="">
      <xdr:nvSpPr>
        <xdr:cNvPr id="21" name="Text Box 1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5697200" y="385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22" name="Text Box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23" name="Text Box 1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24" name="Text Box 5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26" name="Text Box 1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28" name="Text Box 1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29" name="Text Box 5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30" name="Text Box 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76200</xdr:colOff>
      <xdr:row>24</xdr:row>
      <xdr:rowOff>22858</xdr:rowOff>
    </xdr:to>
    <xdr:sp macro="" textlink="">
      <xdr:nvSpPr>
        <xdr:cNvPr id="31" name="Text Box 1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15697200" y="35242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F36"/>
  <sheetViews>
    <sheetView tabSelected="1" zoomScale="90" zoomScaleNormal="90" workbookViewId="0">
      <selection activeCell="Y36" sqref="Y36"/>
    </sheetView>
  </sheetViews>
  <sheetFormatPr defaultRowHeight="14.4" x14ac:dyDescent="0.3"/>
  <cols>
    <col min="1" max="1" width="4.88671875" bestFit="1" customWidth="1"/>
    <col min="2" max="2" width="1.109375" customWidth="1"/>
    <col min="3" max="3" width="5.6640625" customWidth="1"/>
    <col min="4" max="4" width="10.33203125" customWidth="1"/>
    <col min="5" max="5" width="3.88671875" customWidth="1"/>
    <col min="6" max="6" width="5.88671875" customWidth="1"/>
    <col min="7" max="7" width="22.5546875" customWidth="1"/>
    <col min="8" max="8" width="6.88671875" customWidth="1"/>
    <col min="9" max="9" width="6.109375" customWidth="1"/>
    <col min="10" max="10" width="12.44140625" customWidth="1"/>
    <col min="11" max="11" width="9.6640625" customWidth="1"/>
    <col min="12" max="12" width="13.33203125" customWidth="1"/>
    <col min="13" max="13" width="10" customWidth="1"/>
    <col min="14" max="14" width="9" customWidth="1"/>
    <col min="15" max="15" width="17.6640625" customWidth="1"/>
    <col min="16" max="16" width="12" customWidth="1"/>
    <col min="17" max="17" width="13.5546875" customWidth="1"/>
    <col min="18" max="18" width="13.88671875" customWidth="1"/>
    <col min="19" max="19" width="15.6640625" customWidth="1"/>
    <col min="20" max="20" width="6.33203125" bestFit="1" customWidth="1"/>
    <col min="21" max="21" width="12.44140625" customWidth="1"/>
    <col min="22" max="22" width="11" customWidth="1"/>
    <col min="23" max="23" width="10" customWidth="1"/>
    <col min="24" max="24" width="5.5546875" customWidth="1"/>
    <col min="25" max="25" width="8.44140625" customWidth="1"/>
    <col min="26" max="26" width="14.44140625" customWidth="1"/>
    <col min="27" max="27" width="16.6640625" customWidth="1"/>
    <col min="28" max="28" width="1.33203125" customWidth="1"/>
    <col min="29" max="29" width="3.88671875" customWidth="1"/>
    <col min="30" max="30" width="4.6640625" style="53" customWidth="1"/>
    <col min="31" max="31" width="9.33203125" bestFit="1" customWidth="1"/>
  </cols>
  <sheetData>
    <row r="1" spans="1:32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47"/>
      <c r="AE1" s="1"/>
      <c r="AF1" s="1"/>
    </row>
    <row r="2" spans="1:32" ht="5.25" customHeight="1" thickTop="1" thickBot="1" x14ac:dyDescent="0.35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4"/>
      <c r="AC2" s="1"/>
      <c r="AD2" s="47"/>
      <c r="AE2" s="1"/>
      <c r="AF2" s="1"/>
    </row>
    <row r="3" spans="1:32" x14ac:dyDescent="0.3">
      <c r="A3" s="1"/>
      <c r="B3" s="5"/>
      <c r="C3" s="191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3"/>
      <c r="AB3" s="6"/>
      <c r="AC3" s="1"/>
      <c r="AD3" s="47"/>
      <c r="AE3" s="1"/>
      <c r="AF3" s="1"/>
    </row>
    <row r="4" spans="1:32" ht="21" x14ac:dyDescent="0.5">
      <c r="A4" s="1"/>
      <c r="B4" s="5"/>
      <c r="C4" s="194" t="s">
        <v>0</v>
      </c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6"/>
      <c r="AB4" s="6"/>
      <c r="AC4" s="1"/>
      <c r="AD4" s="47"/>
      <c r="AE4" s="1"/>
      <c r="AF4" s="1"/>
    </row>
    <row r="5" spans="1:32" x14ac:dyDescent="0.3">
      <c r="A5" s="1"/>
      <c r="B5" s="5"/>
      <c r="C5" s="197"/>
      <c r="D5" s="198"/>
      <c r="E5" s="198"/>
      <c r="F5" s="198"/>
      <c r="G5" s="198"/>
      <c r="H5" s="198"/>
      <c r="I5" s="198"/>
      <c r="J5" s="198"/>
      <c r="K5" s="198"/>
      <c r="L5" s="198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9"/>
      <c r="AB5" s="6"/>
      <c r="AC5" s="1"/>
      <c r="AD5" s="47"/>
      <c r="AE5" s="1"/>
      <c r="AF5" s="1"/>
    </row>
    <row r="6" spans="1:32" x14ac:dyDescent="0.3">
      <c r="A6" s="1" t="s">
        <v>1</v>
      </c>
      <c r="B6" s="5"/>
      <c r="C6" s="9"/>
      <c r="D6" s="168" t="s">
        <v>2</v>
      </c>
      <c r="E6" s="168"/>
      <c r="F6" s="168"/>
      <c r="G6" s="79" t="s">
        <v>101</v>
      </c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168" t="s">
        <v>3</v>
      </c>
      <c r="Y6" s="168"/>
      <c r="Z6" s="114" t="s">
        <v>105</v>
      </c>
      <c r="AA6" s="80"/>
      <c r="AB6" s="6"/>
      <c r="AC6" s="1"/>
      <c r="AD6" s="47"/>
      <c r="AE6" s="1"/>
      <c r="AF6" s="1"/>
    </row>
    <row r="7" spans="1:32" x14ac:dyDescent="0.3">
      <c r="A7" s="1" t="s">
        <v>4</v>
      </c>
      <c r="B7" s="5"/>
      <c r="C7" s="7"/>
      <c r="D7" s="168" t="s">
        <v>5</v>
      </c>
      <c r="E7" s="168"/>
      <c r="F7" s="81" t="s">
        <v>104</v>
      </c>
      <c r="G7" s="81"/>
      <c r="H7" s="81"/>
      <c r="I7" s="81"/>
      <c r="J7" s="10" t="s">
        <v>6</v>
      </c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69"/>
      <c r="Y7" s="169"/>
      <c r="Z7" s="169"/>
      <c r="AA7" s="200"/>
      <c r="AB7" s="6"/>
      <c r="AC7" s="1"/>
      <c r="AD7" s="47"/>
      <c r="AE7" s="1"/>
      <c r="AF7" s="1"/>
    </row>
    <row r="8" spans="1:32" x14ac:dyDescent="0.3">
      <c r="A8" s="1"/>
      <c r="B8" s="5"/>
      <c r="C8" s="7"/>
      <c r="D8" s="8"/>
      <c r="E8" s="8"/>
      <c r="F8" s="8"/>
      <c r="G8" s="8"/>
      <c r="H8" s="8"/>
      <c r="I8" s="8"/>
      <c r="J8" s="8"/>
      <c r="K8" s="201" t="s">
        <v>7</v>
      </c>
      <c r="L8" s="201"/>
      <c r="M8" s="11" t="s">
        <v>8</v>
      </c>
      <c r="N8" s="8"/>
      <c r="O8" s="8"/>
      <c r="P8" s="8"/>
      <c r="Q8" s="8"/>
      <c r="R8" s="8"/>
      <c r="S8" s="8"/>
      <c r="T8" s="8"/>
      <c r="U8" s="8"/>
      <c r="V8" s="8"/>
      <c r="W8" s="8"/>
      <c r="X8" s="169"/>
      <c r="Y8" s="169"/>
      <c r="Z8" s="169"/>
      <c r="AA8" s="200"/>
      <c r="AB8" s="6"/>
      <c r="AC8" s="1"/>
      <c r="AD8" s="47"/>
      <c r="AE8" s="1"/>
      <c r="AF8" s="1"/>
    </row>
    <row r="9" spans="1:32" x14ac:dyDescent="0.3">
      <c r="A9" s="1" t="s">
        <v>9</v>
      </c>
      <c r="B9" s="5"/>
      <c r="C9" s="7"/>
      <c r="D9" s="168" t="s">
        <v>10</v>
      </c>
      <c r="E9" s="168"/>
      <c r="F9" s="204">
        <v>4100132713</v>
      </c>
      <c r="G9" s="204"/>
      <c r="H9" s="169"/>
      <c r="I9" s="169"/>
      <c r="J9" s="12" t="s">
        <v>11</v>
      </c>
      <c r="K9" s="82">
        <v>14069263</v>
      </c>
      <c r="L9" s="82"/>
      <c r="M9" s="202" t="s">
        <v>102</v>
      </c>
      <c r="N9" s="203"/>
      <c r="O9" s="203"/>
      <c r="P9" s="203"/>
      <c r="Q9" s="203"/>
      <c r="R9" s="203"/>
      <c r="S9" s="203"/>
      <c r="T9" s="169"/>
      <c r="U9" s="169"/>
      <c r="V9" s="169"/>
      <c r="W9" s="169"/>
      <c r="X9" s="169"/>
      <c r="Y9" s="169"/>
      <c r="Z9" s="169"/>
      <c r="AA9" s="200"/>
      <c r="AB9" s="6"/>
      <c r="AC9" s="1"/>
      <c r="AD9" s="47"/>
      <c r="AE9" s="1"/>
      <c r="AF9" s="1"/>
    </row>
    <row r="10" spans="1:32" x14ac:dyDescent="0.3">
      <c r="A10" s="1" t="s">
        <v>12</v>
      </c>
      <c r="B10" s="5"/>
      <c r="C10" s="9"/>
      <c r="D10" s="168" t="s">
        <v>13</v>
      </c>
      <c r="E10" s="168"/>
      <c r="F10" s="168"/>
      <c r="G10" s="13">
        <v>45597</v>
      </c>
      <c r="H10" s="169"/>
      <c r="I10" s="169"/>
      <c r="J10" s="12" t="s">
        <v>14</v>
      </c>
      <c r="K10" s="14">
        <v>1</v>
      </c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5" t="s">
        <v>15</v>
      </c>
      <c r="AA10" s="115">
        <v>45749</v>
      </c>
      <c r="AB10" s="16"/>
      <c r="AC10" s="1"/>
      <c r="AD10" s="47"/>
      <c r="AE10" s="1"/>
      <c r="AF10" s="1"/>
    </row>
    <row r="11" spans="1:32" ht="15" thickBot="1" x14ac:dyDescent="0.35">
      <c r="A11" s="1"/>
      <c r="B11" s="5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2"/>
      <c r="AB11" s="6"/>
      <c r="AC11" s="1"/>
      <c r="AD11" s="47"/>
      <c r="AE11" s="1"/>
      <c r="AF11" s="1"/>
    </row>
    <row r="12" spans="1:32" ht="15" thickBot="1" x14ac:dyDescent="0.35">
      <c r="A12" s="17"/>
      <c r="B12" s="5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48"/>
      <c r="S12" s="18"/>
      <c r="T12" s="18"/>
      <c r="U12" s="18"/>
      <c r="V12" s="18"/>
      <c r="W12" s="18"/>
      <c r="X12" s="18"/>
      <c r="Y12" s="18"/>
      <c r="Z12" s="18"/>
      <c r="AA12" s="18"/>
      <c r="AB12" s="6"/>
      <c r="AC12" s="1"/>
      <c r="AD12" s="47"/>
      <c r="AE12" s="1"/>
      <c r="AF12" s="1"/>
    </row>
    <row r="13" spans="1:32" ht="15.6" thickTop="1" thickBot="1" x14ac:dyDescent="0.35">
      <c r="A13" s="17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4"/>
      <c r="AC13" s="18"/>
      <c r="AD13" s="8"/>
      <c r="AE13" s="18"/>
      <c r="AF13" s="18"/>
    </row>
    <row r="14" spans="1:32" ht="14.4" customHeight="1" x14ac:dyDescent="0.3">
      <c r="A14" s="17"/>
      <c r="B14" s="5"/>
      <c r="C14" s="173" t="s">
        <v>16</v>
      </c>
      <c r="D14" s="175" t="s">
        <v>17</v>
      </c>
      <c r="E14" s="177" t="s">
        <v>18</v>
      </c>
      <c r="F14" s="178"/>
      <c r="G14" s="178"/>
      <c r="H14" s="178"/>
      <c r="I14" s="179"/>
      <c r="J14" s="173" t="s">
        <v>19</v>
      </c>
      <c r="K14" s="173" t="s">
        <v>20</v>
      </c>
      <c r="L14" s="187" t="s">
        <v>55</v>
      </c>
      <c r="M14" s="189" t="s">
        <v>54</v>
      </c>
      <c r="N14" s="153" t="s">
        <v>21</v>
      </c>
      <c r="O14" s="155" t="s">
        <v>22</v>
      </c>
      <c r="P14" s="157" t="s">
        <v>23</v>
      </c>
      <c r="Q14" s="159" t="s">
        <v>24</v>
      </c>
      <c r="R14" s="149" t="s">
        <v>25</v>
      </c>
      <c r="S14" s="151" t="s">
        <v>26</v>
      </c>
      <c r="T14" s="161" t="s">
        <v>27</v>
      </c>
      <c r="U14" s="162"/>
      <c r="V14" s="162"/>
      <c r="W14" s="162"/>
      <c r="X14" s="162"/>
      <c r="Y14" s="163"/>
      <c r="Z14" s="177" t="s">
        <v>28</v>
      </c>
      <c r="AA14" s="179"/>
      <c r="AB14" s="6"/>
      <c r="AC14" s="1"/>
      <c r="AD14" s="47"/>
      <c r="AE14" s="1"/>
      <c r="AF14" s="1"/>
    </row>
    <row r="15" spans="1:32" x14ac:dyDescent="0.3">
      <c r="A15" s="17"/>
      <c r="B15" s="5"/>
      <c r="C15" s="174"/>
      <c r="D15" s="176"/>
      <c r="E15" s="180"/>
      <c r="F15" s="181"/>
      <c r="G15" s="181"/>
      <c r="H15" s="181"/>
      <c r="I15" s="182"/>
      <c r="J15" s="174"/>
      <c r="K15" s="174"/>
      <c r="L15" s="188"/>
      <c r="M15" s="190"/>
      <c r="N15" s="154"/>
      <c r="O15" s="156"/>
      <c r="P15" s="158"/>
      <c r="Q15" s="160"/>
      <c r="R15" s="150"/>
      <c r="S15" s="152"/>
      <c r="T15" s="164" t="s">
        <v>29</v>
      </c>
      <c r="U15" s="165"/>
      <c r="V15" s="166" t="s">
        <v>30</v>
      </c>
      <c r="W15" s="165"/>
      <c r="X15" s="166" t="s">
        <v>31</v>
      </c>
      <c r="Y15" s="167"/>
      <c r="Z15" s="185"/>
      <c r="AA15" s="186"/>
      <c r="AB15" s="6"/>
      <c r="AC15" s="1"/>
      <c r="AD15" s="47"/>
      <c r="AE15" s="1"/>
      <c r="AF15" s="1"/>
    </row>
    <row r="16" spans="1:32" ht="30.75" customHeight="1" thickBot="1" x14ac:dyDescent="0.35">
      <c r="A16" s="17"/>
      <c r="B16" s="5"/>
      <c r="C16" s="174"/>
      <c r="D16" s="176"/>
      <c r="E16" s="144"/>
      <c r="F16" s="145"/>
      <c r="G16" s="145"/>
      <c r="H16" s="145"/>
      <c r="I16" s="183"/>
      <c r="J16" s="184"/>
      <c r="K16" s="174"/>
      <c r="L16" s="188"/>
      <c r="M16" s="190"/>
      <c r="N16" s="154"/>
      <c r="O16" s="156"/>
      <c r="P16" s="158"/>
      <c r="Q16" s="160"/>
      <c r="R16" s="150"/>
      <c r="S16" s="152"/>
      <c r="T16" s="19" t="s">
        <v>32</v>
      </c>
      <c r="U16" s="20" t="s">
        <v>33</v>
      </c>
      <c r="V16" s="20" t="s">
        <v>34</v>
      </c>
      <c r="W16" s="20" t="s">
        <v>33</v>
      </c>
      <c r="X16" s="20" t="s">
        <v>35</v>
      </c>
      <c r="Y16" s="21" t="s">
        <v>33</v>
      </c>
      <c r="Z16" s="19" t="s">
        <v>36</v>
      </c>
      <c r="AA16" s="21" t="s">
        <v>37</v>
      </c>
      <c r="AB16" s="6"/>
      <c r="AC16" s="1"/>
      <c r="AD16" s="47"/>
      <c r="AE16" s="1" t="s">
        <v>38</v>
      </c>
      <c r="AF16" s="1"/>
    </row>
    <row r="17" spans="1:32" ht="15" thickBot="1" x14ac:dyDescent="0.35">
      <c r="A17" s="1" t="s">
        <v>39</v>
      </c>
      <c r="B17" s="5"/>
      <c r="C17" s="73">
        <v>1</v>
      </c>
      <c r="D17" s="74">
        <v>14069263</v>
      </c>
      <c r="E17" s="75" t="s">
        <v>103</v>
      </c>
      <c r="F17" s="76"/>
      <c r="G17" s="75"/>
      <c r="H17" s="76"/>
      <c r="I17" s="76"/>
      <c r="J17" s="77">
        <v>50028884</v>
      </c>
      <c r="K17" s="77"/>
      <c r="L17" s="78"/>
      <c r="M17" s="23"/>
      <c r="N17" s="22">
        <v>3</v>
      </c>
      <c r="O17" s="24">
        <v>1827.95</v>
      </c>
      <c r="P17" s="25">
        <v>45779</v>
      </c>
      <c r="Q17" s="55"/>
      <c r="R17" s="55"/>
      <c r="S17" s="26">
        <f>N17*O17</f>
        <v>5483.85</v>
      </c>
      <c r="T17" s="27">
        <v>0</v>
      </c>
      <c r="U17" s="26">
        <f t="shared" ref="U17" si="0">ROUND(S17*((1/(1-(T17/100)*(1+(AE17/100))))-1),2)</f>
        <v>0</v>
      </c>
      <c r="V17" s="28"/>
      <c r="W17" s="26">
        <f t="shared" ref="W17" si="1">ROUND(S17*((1+AE17/100)/(1-((T17/100)*(1+AE17/100))))-(S17*((1/(1-(T17/100)*(1+(AE17/100))))-1))-S17,3)</f>
        <v>0</v>
      </c>
      <c r="X17" s="28">
        <v>5</v>
      </c>
      <c r="Y17" s="26">
        <f>ROUND(((S17/(100-X17))*100)-S17,2)</f>
        <v>288.62</v>
      </c>
      <c r="Z17" s="26">
        <f>ROUND(S17+W17+Y17,2)</f>
        <v>5772.47</v>
      </c>
      <c r="AA17" s="29">
        <f t="shared" ref="AA17" si="2">ROUND(Z17+U17+R17,2)</f>
        <v>5772.47</v>
      </c>
      <c r="AB17" s="6"/>
      <c r="AC17" s="1"/>
      <c r="AD17" s="47"/>
      <c r="AE17" s="30"/>
      <c r="AF17" s="1"/>
    </row>
    <row r="18" spans="1:32" ht="15" thickBot="1" x14ac:dyDescent="0.35">
      <c r="A18" s="1" t="s">
        <v>40</v>
      </c>
      <c r="B18" s="31"/>
      <c r="C18" s="144" t="s">
        <v>41</v>
      </c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32">
        <f>SUM(S17:S17)</f>
        <v>5483.85</v>
      </c>
      <c r="T18" s="145"/>
      <c r="U18" s="145"/>
      <c r="V18" s="145"/>
      <c r="W18" s="145"/>
      <c r="X18" s="145"/>
      <c r="Y18" s="145"/>
      <c r="Z18" s="32">
        <f>SUM(Z17:Z17)</f>
        <v>5772.47</v>
      </c>
      <c r="AA18" s="33">
        <f>SUM(AA17:AA17)</f>
        <v>5772.47</v>
      </c>
      <c r="AB18" s="34"/>
      <c r="AC18" s="35"/>
      <c r="AD18" s="51"/>
      <c r="AE18" s="35"/>
      <c r="AF18" s="35"/>
    </row>
    <row r="19" spans="1:32" ht="5.25" customHeight="1" thickBot="1" x14ac:dyDescent="0.35">
      <c r="A19" s="1"/>
      <c r="B19" s="36"/>
      <c r="C19" s="37"/>
      <c r="D19" s="37"/>
      <c r="E19" s="38"/>
      <c r="F19" s="38"/>
      <c r="G19" s="38"/>
      <c r="H19" s="37"/>
      <c r="I19" s="37"/>
      <c r="J19" s="38"/>
      <c r="K19" s="38"/>
      <c r="L19" s="38"/>
      <c r="M19" s="38"/>
      <c r="N19" s="38"/>
      <c r="O19" s="38"/>
      <c r="P19" s="38"/>
      <c r="Q19" s="38"/>
      <c r="R19" s="50"/>
      <c r="S19" s="38"/>
      <c r="T19" s="38"/>
      <c r="U19" s="38"/>
      <c r="V19" s="38"/>
      <c r="W19" s="38"/>
      <c r="X19" s="38"/>
      <c r="Y19" s="38"/>
      <c r="Z19" s="38"/>
      <c r="AA19" s="38"/>
      <c r="AB19" s="39"/>
      <c r="AC19" s="1"/>
      <c r="AD19" s="47"/>
      <c r="AE19" s="1"/>
      <c r="AF19" s="1"/>
    </row>
    <row r="20" spans="1:32" ht="15" thickTop="1" x14ac:dyDescent="0.3">
      <c r="A20" s="1"/>
      <c r="B20" s="3"/>
      <c r="C20" s="8"/>
      <c r="D20" s="8"/>
      <c r="E20" s="18"/>
      <c r="F20" s="18"/>
      <c r="G20" s="18"/>
      <c r="H20" s="8"/>
      <c r="I20" s="8"/>
      <c r="J20" s="18"/>
      <c r="K20" s="18"/>
      <c r="L20" s="18"/>
      <c r="M20" s="18"/>
      <c r="N20" s="18"/>
      <c r="O20" s="18"/>
      <c r="P20" s="18"/>
      <c r="Q20" s="49"/>
      <c r="R20" s="49"/>
      <c r="S20" s="18"/>
      <c r="T20" s="18"/>
      <c r="U20" s="18"/>
      <c r="V20" s="18"/>
      <c r="W20" s="18"/>
      <c r="X20" s="18"/>
      <c r="Y20" s="18"/>
      <c r="Z20" s="18"/>
      <c r="AA20" s="18"/>
      <c r="AB20" s="3"/>
      <c r="AC20" s="1"/>
      <c r="AD20" s="47"/>
      <c r="AE20" s="1"/>
      <c r="AF20" s="1"/>
    </row>
    <row r="21" spans="1:32" ht="15" thickBot="1" x14ac:dyDescent="0.35">
      <c r="A21" s="1"/>
      <c r="B21" s="18"/>
      <c r="C21" s="10" t="s">
        <v>42</v>
      </c>
      <c r="D21" s="10"/>
      <c r="E21" s="10"/>
      <c r="F21" s="10"/>
      <c r="G21" s="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40"/>
      <c r="AA21" s="41"/>
      <c r="AB21" s="18"/>
      <c r="AC21" s="1"/>
      <c r="AD21" s="47"/>
      <c r="AE21" s="1"/>
      <c r="AF21" s="1"/>
    </row>
    <row r="22" spans="1:32" ht="15" thickTop="1" x14ac:dyDescent="0.3">
      <c r="A22" s="42"/>
      <c r="B22" s="148" t="s">
        <v>43</v>
      </c>
      <c r="C22" s="146"/>
      <c r="D22" s="146"/>
      <c r="E22" s="146"/>
      <c r="F22" s="141" t="s">
        <v>44</v>
      </c>
      <c r="G22" s="143"/>
      <c r="H22" s="143"/>
      <c r="I22" s="143"/>
      <c r="J22" s="143"/>
      <c r="K22" s="141" t="s">
        <v>45</v>
      </c>
      <c r="L22" s="142"/>
      <c r="M22" s="141" t="s">
        <v>46</v>
      </c>
      <c r="N22" s="142"/>
      <c r="O22" s="141" t="s">
        <v>47</v>
      </c>
      <c r="P22" s="143"/>
      <c r="Q22" s="142"/>
      <c r="R22" s="146" t="s">
        <v>48</v>
      </c>
      <c r="S22" s="141"/>
      <c r="T22" s="141" t="s">
        <v>49</v>
      </c>
      <c r="U22" s="143"/>
      <c r="V22" s="141" t="s">
        <v>50</v>
      </c>
      <c r="W22" s="147"/>
      <c r="X22" s="43"/>
      <c r="Y22" s="44"/>
      <c r="Z22" s="43"/>
      <c r="AA22" s="43"/>
      <c r="AB22" s="43"/>
      <c r="AC22" s="43"/>
      <c r="AD22" s="52"/>
      <c r="AE22" s="42"/>
      <c r="AF22" s="42"/>
    </row>
    <row r="23" spans="1:32" x14ac:dyDescent="0.3">
      <c r="A23" s="1" t="s">
        <v>51</v>
      </c>
      <c r="B23" s="127">
        <v>1</v>
      </c>
      <c r="C23" s="128"/>
      <c r="D23" s="128"/>
      <c r="E23" s="129"/>
      <c r="F23" s="130">
        <v>1</v>
      </c>
      <c r="G23" s="131"/>
      <c r="H23" s="131"/>
      <c r="I23" s="131"/>
      <c r="J23" s="131"/>
      <c r="K23" s="132" t="s">
        <v>100</v>
      </c>
      <c r="L23" s="133"/>
      <c r="M23" s="136">
        <f>P17</f>
        <v>45779</v>
      </c>
      <c r="N23" s="137"/>
      <c r="O23" s="136">
        <f>P17+75</f>
        <v>45854</v>
      </c>
      <c r="P23" s="138"/>
      <c r="Q23" s="137"/>
      <c r="R23" s="139">
        <f>AA18</f>
        <v>5772.47</v>
      </c>
      <c r="S23" s="140"/>
      <c r="T23" s="116">
        <v>14069263</v>
      </c>
      <c r="U23" s="117"/>
      <c r="V23" s="134">
        <f>R23</f>
        <v>5772.47</v>
      </c>
      <c r="W23" s="135"/>
      <c r="X23" s="8"/>
      <c r="Y23" s="45"/>
      <c r="Z23" s="46"/>
      <c r="AA23" s="8"/>
      <c r="AB23" s="8"/>
      <c r="AC23" s="18"/>
      <c r="AD23" s="47"/>
      <c r="AE23" s="1"/>
      <c r="AF23" s="1"/>
    </row>
    <row r="24" spans="1:32" ht="15" thickBot="1" x14ac:dyDescent="0.35">
      <c r="A24" s="1" t="s">
        <v>52</v>
      </c>
      <c r="B24" s="118" t="s">
        <v>53</v>
      </c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20"/>
      <c r="R24" s="121">
        <f>SUM(R23:S23)</f>
        <v>5772.47</v>
      </c>
      <c r="S24" s="122"/>
      <c r="T24" s="123"/>
      <c r="U24" s="124"/>
      <c r="V24" s="125">
        <f>SUM(V23:W23)</f>
        <v>5772.47</v>
      </c>
      <c r="W24" s="126"/>
      <c r="X24" s="8"/>
      <c r="Y24" s="45"/>
      <c r="Z24" s="1"/>
      <c r="AA24" s="1"/>
      <c r="AB24" s="18"/>
      <c r="AC24" s="1"/>
      <c r="AD24" s="47"/>
      <c r="AE24" s="1"/>
      <c r="AF24" s="1"/>
    </row>
    <row r="25" spans="1:32" s="56" customFormat="1" ht="13.8" thickTop="1" x14ac:dyDescent="0.25">
      <c r="V25" s="57"/>
      <c r="Y25" s="58"/>
      <c r="Z25" s="59"/>
      <c r="AA25" s="59"/>
    </row>
    <row r="26" spans="1:32" s="59" customFormat="1" x14ac:dyDescent="0.3">
      <c r="A26" s="60" t="s">
        <v>58</v>
      </c>
      <c r="B26" s="61" t="s">
        <v>70</v>
      </c>
      <c r="P26"/>
      <c r="Q26" s="71"/>
      <c r="S26" s="68"/>
      <c r="T26" s="69"/>
    </row>
    <row r="27" spans="1:32" s="59" customFormat="1" x14ac:dyDescent="0.3">
      <c r="A27" s="60" t="s">
        <v>58</v>
      </c>
      <c r="B27" s="61" t="s">
        <v>71</v>
      </c>
      <c r="P27"/>
      <c r="S27" s="63"/>
      <c r="T27" s="70"/>
      <c r="U27" s="72"/>
      <c r="V27" s="72"/>
    </row>
    <row r="28" spans="1:32" s="59" customFormat="1" x14ac:dyDescent="0.3">
      <c r="A28" s="60" t="s">
        <v>58</v>
      </c>
      <c r="B28" s="61" t="s">
        <v>72</v>
      </c>
      <c r="C28" s="61"/>
      <c r="P28" s="62"/>
      <c r="Q28"/>
      <c r="S28" s="63"/>
      <c r="T28" s="71"/>
      <c r="U28" s="72"/>
      <c r="V28" s="72"/>
    </row>
    <row r="29" spans="1:32" s="59" customFormat="1" x14ac:dyDescent="0.3">
      <c r="A29" s="60" t="str">
        <f t="shared" ref="A29:A36" si="3">A28</f>
        <v>=&gt;</v>
      </c>
      <c r="B29" s="61" t="s">
        <v>82</v>
      </c>
      <c r="C29" s="61"/>
      <c r="Q29"/>
      <c r="U29" s="72"/>
      <c r="V29" s="72"/>
    </row>
    <row r="30" spans="1:32" s="59" customFormat="1" x14ac:dyDescent="0.3">
      <c r="A30" s="60" t="str">
        <f t="shared" si="3"/>
        <v>=&gt;</v>
      </c>
      <c r="B30" s="61" t="s">
        <v>83</v>
      </c>
      <c r="Q30"/>
      <c r="U30" s="72"/>
      <c r="V30" s="72"/>
    </row>
    <row r="31" spans="1:32" s="59" customFormat="1" x14ac:dyDescent="0.3">
      <c r="A31" s="60" t="str">
        <f t="shared" si="3"/>
        <v>=&gt;</v>
      </c>
      <c r="B31" s="61" t="s">
        <v>73</v>
      </c>
      <c r="Q31"/>
      <c r="U31" s="72"/>
      <c r="V31" s="72"/>
    </row>
    <row r="32" spans="1:32" s="59" customFormat="1" ht="13.2" x14ac:dyDescent="0.25">
      <c r="A32" s="60" t="str">
        <f t="shared" si="3"/>
        <v>=&gt;</v>
      </c>
      <c r="B32" s="61" t="s">
        <v>74</v>
      </c>
      <c r="U32" s="72"/>
      <c r="V32" s="72"/>
    </row>
    <row r="33" spans="1:22" s="59" customFormat="1" ht="13.2" x14ac:dyDescent="0.25">
      <c r="A33" s="60" t="str">
        <f t="shared" si="3"/>
        <v>=&gt;</v>
      </c>
      <c r="B33" s="61" t="s">
        <v>75</v>
      </c>
      <c r="U33" s="72"/>
      <c r="V33" s="72"/>
    </row>
    <row r="34" spans="1:22" x14ac:dyDescent="0.3">
      <c r="A34" s="64" t="str">
        <f t="shared" si="3"/>
        <v>=&gt;</v>
      </c>
      <c r="B34" s="65" t="s">
        <v>86</v>
      </c>
      <c r="C34" s="66"/>
      <c r="D34" s="66"/>
      <c r="E34" s="66"/>
      <c r="F34" s="66"/>
      <c r="G34" s="66"/>
      <c r="H34" s="66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</row>
    <row r="35" spans="1:22" x14ac:dyDescent="0.3">
      <c r="A35" s="64" t="str">
        <f t="shared" si="3"/>
        <v>=&gt;</v>
      </c>
      <c r="B35" s="65" t="s">
        <v>76</v>
      </c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</row>
    <row r="36" spans="1:22" x14ac:dyDescent="0.3">
      <c r="A36" s="64" t="str">
        <f t="shared" si="3"/>
        <v>=&gt;</v>
      </c>
      <c r="B36" s="65" t="s">
        <v>77</v>
      </c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</row>
  </sheetData>
  <mergeCells count="57">
    <mergeCell ref="D7:E7"/>
    <mergeCell ref="X7:AA9"/>
    <mergeCell ref="K8:L8"/>
    <mergeCell ref="D9:E9"/>
    <mergeCell ref="H9:I9"/>
    <mergeCell ref="M9:S9"/>
    <mergeCell ref="T9:W9"/>
    <mergeCell ref="F9:G9"/>
    <mergeCell ref="C3:AA3"/>
    <mergeCell ref="C4:AA4"/>
    <mergeCell ref="C5:AA5"/>
    <mergeCell ref="D6:F6"/>
    <mergeCell ref="X6:Y6"/>
    <mergeCell ref="T14:Y14"/>
    <mergeCell ref="T15:U15"/>
    <mergeCell ref="V15:W15"/>
    <mergeCell ref="X15:Y15"/>
    <mergeCell ref="D10:F10"/>
    <mergeCell ref="H10:I10"/>
    <mergeCell ref="L10:Y10"/>
    <mergeCell ref="C11:AA11"/>
    <mergeCell ref="C14:C16"/>
    <mergeCell ref="D14:D16"/>
    <mergeCell ref="E14:I16"/>
    <mergeCell ref="J14:J16"/>
    <mergeCell ref="K14:K16"/>
    <mergeCell ref="Z14:AA15"/>
    <mergeCell ref="L14:L16"/>
    <mergeCell ref="M14:M16"/>
    <mergeCell ref="R14:R16"/>
    <mergeCell ref="S14:S16"/>
    <mergeCell ref="N14:N16"/>
    <mergeCell ref="O14:O16"/>
    <mergeCell ref="P14:P16"/>
    <mergeCell ref="Q14:Q16"/>
    <mergeCell ref="M22:N22"/>
    <mergeCell ref="O22:Q22"/>
    <mergeCell ref="C18:R18"/>
    <mergeCell ref="T18:Y18"/>
    <mergeCell ref="R22:S22"/>
    <mergeCell ref="T22:U22"/>
    <mergeCell ref="V22:W22"/>
    <mergeCell ref="B22:E22"/>
    <mergeCell ref="F22:J22"/>
    <mergeCell ref="K22:L22"/>
    <mergeCell ref="T23:U23"/>
    <mergeCell ref="B24:Q24"/>
    <mergeCell ref="R24:S24"/>
    <mergeCell ref="T24:U24"/>
    <mergeCell ref="V24:W24"/>
    <mergeCell ref="B23:E23"/>
    <mergeCell ref="F23:J23"/>
    <mergeCell ref="K23:L23"/>
    <mergeCell ref="V23:W23"/>
    <mergeCell ref="M23:N23"/>
    <mergeCell ref="O23:Q23"/>
    <mergeCell ref="R23:S23"/>
  </mergeCells>
  <conditionalFormatting sqref="O32">
    <cfRule type="duplicateValues" dxfId="0" priority="54" stopIfTrue="1"/>
  </conditionalFormatting>
  <pageMargins left="0.7" right="0.7" top="0.75" bottom="0.75" header="0.3" footer="0.3"/>
  <pageSetup paperSize="9" orientation="portrait" r:id="rId1"/>
  <headerFooter>
    <oddFooter>&amp;L_x000D_&amp;1#&amp;"Arial"&amp;7&amp;K000000 ***Este documento está clasificado como PUBLICO por TELEFÓNICA.
***This document is classified as PUBLIC by TELEFÓNICA.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27"/>
  <sheetViews>
    <sheetView workbookViewId="0"/>
  </sheetViews>
  <sheetFormatPr defaultRowHeight="14.4" x14ac:dyDescent="0.3"/>
  <cols>
    <col min="1" max="1" width="7.5546875" style="54" customWidth="1"/>
    <col min="2" max="2" width="112.88671875" style="54" bestFit="1" customWidth="1"/>
  </cols>
  <sheetData>
    <row r="1" spans="1:2" x14ac:dyDescent="0.3">
      <c r="A1" s="83" t="s">
        <v>80</v>
      </c>
      <c r="B1" s="84" t="s">
        <v>69</v>
      </c>
    </row>
    <row r="2" spans="1:2" x14ac:dyDescent="0.3">
      <c r="A2" s="101" t="s">
        <v>95</v>
      </c>
      <c r="B2" s="102" t="s">
        <v>69</v>
      </c>
    </row>
    <row r="3" spans="1:2" x14ac:dyDescent="0.3">
      <c r="A3" s="85" t="s">
        <v>91</v>
      </c>
      <c r="B3" s="86" t="s">
        <v>69</v>
      </c>
    </row>
    <row r="4" spans="1:2" x14ac:dyDescent="0.3">
      <c r="A4" s="85" t="s">
        <v>93</v>
      </c>
      <c r="B4" s="86" t="s">
        <v>69</v>
      </c>
    </row>
    <row r="5" spans="1:2" x14ac:dyDescent="0.3">
      <c r="A5" s="98" t="s">
        <v>96</v>
      </c>
      <c r="B5" s="86" t="s">
        <v>69</v>
      </c>
    </row>
    <row r="6" spans="1:2" x14ac:dyDescent="0.3">
      <c r="A6" s="85" t="s">
        <v>60</v>
      </c>
      <c r="B6" s="86" t="s">
        <v>69</v>
      </c>
    </row>
    <row r="7" spans="1:2" s="100" customFormat="1" x14ac:dyDescent="0.3">
      <c r="A7" s="97" t="s">
        <v>99</v>
      </c>
      <c r="B7" s="99" t="s">
        <v>69</v>
      </c>
    </row>
    <row r="8" spans="1:2" x14ac:dyDescent="0.3">
      <c r="A8" s="85" t="s">
        <v>81</v>
      </c>
      <c r="B8" s="86" t="s">
        <v>69</v>
      </c>
    </row>
    <row r="9" spans="1:2" x14ac:dyDescent="0.3">
      <c r="A9" s="85" t="s">
        <v>97</v>
      </c>
      <c r="B9" s="86" t="s">
        <v>69</v>
      </c>
    </row>
    <row r="10" spans="1:2" x14ac:dyDescent="0.3">
      <c r="A10" s="85" t="s">
        <v>79</v>
      </c>
      <c r="B10" s="86" t="s">
        <v>69</v>
      </c>
    </row>
    <row r="11" spans="1:2" x14ac:dyDescent="0.3">
      <c r="A11" s="85" t="s">
        <v>90</v>
      </c>
      <c r="B11" s="86" t="s">
        <v>69</v>
      </c>
    </row>
    <row r="12" spans="1:2" x14ac:dyDescent="0.3">
      <c r="A12" s="85" t="s">
        <v>94</v>
      </c>
      <c r="B12" s="86" t="s">
        <v>69</v>
      </c>
    </row>
    <row r="13" spans="1:2" x14ac:dyDescent="0.3">
      <c r="A13" s="85" t="s">
        <v>57</v>
      </c>
      <c r="B13" s="86" t="s">
        <v>69</v>
      </c>
    </row>
    <row r="14" spans="1:2" ht="15" thickBot="1" x14ac:dyDescent="0.35">
      <c r="A14" s="103" t="s">
        <v>89</v>
      </c>
      <c r="B14" s="104" t="s">
        <v>69</v>
      </c>
    </row>
    <row r="15" spans="1:2" x14ac:dyDescent="0.3">
      <c r="A15" s="105" t="s">
        <v>66</v>
      </c>
      <c r="B15" s="106" t="s">
        <v>78</v>
      </c>
    </row>
    <row r="16" spans="1:2" ht="15" thickBot="1" x14ac:dyDescent="0.35">
      <c r="A16" s="89" t="s">
        <v>67</v>
      </c>
      <c r="B16" s="90" t="s">
        <v>78</v>
      </c>
    </row>
    <row r="17" spans="1:2" x14ac:dyDescent="0.3">
      <c r="A17" s="107" t="s">
        <v>85</v>
      </c>
      <c r="B17" s="108" t="s">
        <v>68</v>
      </c>
    </row>
    <row r="18" spans="1:2" x14ac:dyDescent="0.3">
      <c r="A18" s="109" t="s">
        <v>56</v>
      </c>
      <c r="B18" s="110" t="s">
        <v>68</v>
      </c>
    </row>
    <row r="19" spans="1:2" x14ac:dyDescent="0.3">
      <c r="A19" s="109" t="s">
        <v>98</v>
      </c>
      <c r="B19" s="110" t="s">
        <v>68</v>
      </c>
    </row>
    <row r="20" spans="1:2" ht="15" thickBot="1" x14ac:dyDescent="0.35">
      <c r="A20" s="111" t="s">
        <v>92</v>
      </c>
      <c r="B20" s="112" t="s">
        <v>68</v>
      </c>
    </row>
    <row r="21" spans="1:2" x14ac:dyDescent="0.3">
      <c r="A21" s="87" t="s">
        <v>87</v>
      </c>
      <c r="B21" s="88" t="s">
        <v>88</v>
      </c>
    </row>
    <row r="22" spans="1:2" ht="15" thickBot="1" x14ac:dyDescent="0.35">
      <c r="A22" s="89" t="s">
        <v>84</v>
      </c>
      <c r="B22" s="90" t="s">
        <v>88</v>
      </c>
    </row>
    <row r="23" spans="1:2" x14ac:dyDescent="0.3">
      <c r="A23" s="91" t="s">
        <v>61</v>
      </c>
      <c r="B23" s="92" t="s">
        <v>59</v>
      </c>
    </row>
    <row r="24" spans="1:2" x14ac:dyDescent="0.3">
      <c r="A24" s="93" t="s">
        <v>62</v>
      </c>
      <c r="B24" s="94" t="s">
        <v>59</v>
      </c>
    </row>
    <row r="25" spans="1:2" x14ac:dyDescent="0.3">
      <c r="A25" s="93" t="s">
        <v>63</v>
      </c>
      <c r="B25" s="94" t="s">
        <v>59</v>
      </c>
    </row>
    <row r="26" spans="1:2" x14ac:dyDescent="0.3">
      <c r="A26" s="93" t="s">
        <v>64</v>
      </c>
      <c r="B26" s="94" t="s">
        <v>59</v>
      </c>
    </row>
    <row r="27" spans="1:2" ht="15" thickBot="1" x14ac:dyDescent="0.35">
      <c r="A27" s="95" t="s">
        <v>65</v>
      </c>
      <c r="B27" s="96" t="s">
        <v>59</v>
      </c>
    </row>
  </sheetData>
  <sheetProtection algorithmName="SHA-512" hashValue="1QlCWdyR45XcpTIUxA8ug/Tjk5+/X72rmMjCEg16y2yoqbY390uMI6EbWhIHmeA9bUTPckTa9WEHLqHOUzBT1w==" saltValue="aspKvERRgJ7bVEeSOPysfw==" spinCount="100000" sheet="1" formatCells="0" formatColumns="0" formatRows="0" insertColumns="0" insertRows="0" insertHyperlinks="0" deleteColumns="0" deleteRows="0" selectLockedCells="1" sort="0" autoFilter="0" pivotTables="0" selectUnlockedCells="1"/>
  <sortState xmlns:xlrd2="http://schemas.microsoft.com/office/spreadsheetml/2017/richdata2" ref="A6:B27">
    <sortCondition ref="A6:A27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&amp;L_x000D_&amp;1#&amp;"Arial"&amp;7&amp;K000000 ***Este documento está clasificado como PUBLICO por TELEFÓNICA.
***This document is classified as PUBLIC by TELEFÓNICA.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E6ABD88DC68E43A1C98E5537877535" ma:contentTypeVersion="0" ma:contentTypeDescription="Create a new document." ma:contentTypeScope="" ma:versionID="71455cac4fd88ea93f5a9624b40908c1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57211F5B-23F5-4A24-8E26-9B178ACF4B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C36FEFC2-F211-4368-8B4C-5876E7DCFBD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26EA57-A3A3-4F87-8AD1-FE12B6092B25}">
  <ds:schemaRefs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e65bd4d2-aa7c-445f-9ef8-222ebb1d2b43}" enabled="1" method="Privileged" siteId="{9744600e-3e04-492e-baa1-25ec245c6f1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ISP-000000-17-0000000-00</vt:lpstr>
      <vt:lpstr>CALC_DIFAL_FORMULAS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sb</dc:creator>
  <cp:lastModifiedBy>Usuario</cp:lastModifiedBy>
  <dcterms:created xsi:type="dcterms:W3CDTF">2012-03-23T15:09:26Z</dcterms:created>
  <dcterms:modified xsi:type="dcterms:W3CDTF">2025-04-02T18:10:20Z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(10)2Nh5NG3g99xVFVsKrBiiaxLr/Gfbcw540J5lusTSDhZe52HLf5oRU1du9lGAWJS8u8WKf680_x000d_
ofP+lVMbAF0+ZIY3BD8AN5TAZC03vhcylP58mh7T/0iieMkeCnieViYBUEL37fOVFy6d2CUU_x000d_
/YSgYTs0uWrV1uSAvJfVF3DXJHWwOp/KnDqS0jeaUbdgFLnGYkYSTei4dx9t2lKLw2a9X0ZW_x000d_
JuHRBAbvufWsMrU9Hm</vt:lpwstr>
  </property>
  <property fmtid="{D5CDD505-2E9C-101B-9397-08002B2CF9AE}" pid="3" name="_ms_pID_7253431">
    <vt:lpwstr>YJiHo/TfkSUUcbd18sVikHQP+QdL85b2HPy8TXP48pWek9qRIpZLsU_x000d_
gKGRByvLzCPUN0iw/C/HFC5HhPmDp3M+o6Re4R96lXMElM7jcZRdXEVzZTxUQpytfFHIdwdA_x000d_
trK3qpm+LRZnvvNhSJWnhgNjiqk7um9USKBROZjK2WfrxkMdnAFYu0IKLcgj7a+va+u7KBx1_x000d_
g1Lk/24ivM5YG+WHQm3/MQcalgTpCW/0kTZ9</vt:lpwstr>
  </property>
  <property fmtid="{D5CDD505-2E9C-101B-9397-08002B2CF9AE}" pid="4" name="_ms_pID_7253432">
    <vt:lpwstr>8i4LuZvWmeQpxzQUet2BtpknHXG8eVJBS749_x000d_
dGC1YAC3augKAhCwBjC2kqDcEQma+6s8JhJs+vXRTtD27u07KLxsJoc8JH4b/8/hAw9ECVE9_x000d_
1g+AQlCSpOh4JpiNp/+4SRkPXhgy+rPSx9nWXtkU6iT9nWEcX1ltHBtHZs6YCnIojFIgzJh2_x000d_
xUHVtwC+lwSKnY+NQ31V/TWNV1wT1C7I9gPpFFX5h1/FsMg4s/ZrGj</vt:lpwstr>
  </property>
  <property fmtid="{D5CDD505-2E9C-101B-9397-08002B2CF9AE}" pid="5" name="_ms_pID_725343_00">
    <vt:lpwstr>_ms_pID_725343</vt:lpwstr>
  </property>
  <property fmtid="{D5CDD505-2E9C-101B-9397-08002B2CF9AE}" pid="6" name="_ms_pID_7253431_00">
    <vt:lpwstr>_ms_pID_7253431</vt:lpwstr>
  </property>
  <property fmtid="{D5CDD505-2E9C-101B-9397-08002B2CF9AE}" pid="7" name="_ms_pID_7253432_00">
    <vt:lpwstr>_ms_pID_7253432</vt:lpwstr>
  </property>
  <property fmtid="{D5CDD505-2E9C-101B-9397-08002B2CF9AE}" pid="8" name="_ms_pID_7253433">
    <vt:lpwstr>Kx2YYNf1hkcY5wnvfT_x000d_
YU5a5d7UgwUct7OXGeVrwTqsmueAoRJ4cGbrlcu2EvJ8i7wb1cxnma83tvUkL7bzj9CkRVED_x000d_
DRL1puVfjjEn3f84ftODuvE44WN+LVywGTTIWy+ixO30D1G6/fAClmQJSV+hBp/TGqdUefS6_x000d_
K2E/xq+lGarkVGNeCa3icn1HRd448jMWBdkCbMOC7+dmJRYCpjpKm5SFwrNA35bw28aFZ/np</vt:lpwstr>
  </property>
  <property fmtid="{D5CDD505-2E9C-101B-9397-08002B2CF9AE}" pid="9" name="_ms_pID_7253433_00">
    <vt:lpwstr>_ms_pID_7253433</vt:lpwstr>
  </property>
  <property fmtid="{D5CDD505-2E9C-101B-9397-08002B2CF9AE}" pid="10" name="_ms_pID_7253434">
    <vt:lpwstr>_x000d_
uQD9HkbM6ctmSR12QUKPbKt4mMIzhVaxB3QsNAkJ6Wr0Hw112CP3IJlPCMS77XI1P5y9XTWK_x000d_
n9AYyLpQ/QYU8V4ldPAHpKveoRwzuYMl/YStEKtobLFyzMkgnM2Sj7JEuPDTEwEJlzEh3vtt_x000d_
RN+/kWl63PUOdHDZLhyWfDoWoZZpzJ1/YJ5ZEIsbOyDtqp1AhZip+4XuN4aS6MTygHqRtoSc_x000d_
7x7cwogwQ67MO4pq</vt:lpwstr>
  </property>
  <property fmtid="{D5CDD505-2E9C-101B-9397-08002B2CF9AE}" pid="11" name="_ms_pID_7253434_00">
    <vt:lpwstr>_ms_pID_7253434</vt:lpwstr>
  </property>
  <property fmtid="{D5CDD505-2E9C-101B-9397-08002B2CF9AE}" pid="12" name="_ms_pID_7253435">
    <vt:lpwstr>XHtVNEUslqEfWADigm3WMODr9CtjIvosib3Y5cRCzHVe1qMfsXidSp3L_x000d_
jr3Bgx0zp7PXKK9gqNQ+VSTu78WLcBroqvjuaXtMMFMFNETtGFPt8E7SL8+pBTKs1BDS4azt_x000d_
a144dxpnrz4l4VIsCZXhLSCIBRz43z0JxjzN4zf20vUcIynWxjXS9hjmfoNESBXSS8XPnPPL_x000d_
bW2eWrWVsCKGcIuBrESkZKICO/2S8KxwoL</vt:lpwstr>
  </property>
  <property fmtid="{D5CDD505-2E9C-101B-9397-08002B2CF9AE}" pid="13" name="_ms_pID_7253435_00">
    <vt:lpwstr>_ms_pID_7253435</vt:lpwstr>
  </property>
  <property fmtid="{D5CDD505-2E9C-101B-9397-08002B2CF9AE}" pid="14" name="_ms_pID_7253436">
    <vt:lpwstr>PwPaKqIfqhJ7gZ85RG5oBY+P9Fy8NOMaGXGs6e_x000d_
Qg11bSFdAsa4qoF4GfOZdjOt1ZGblQpQ/Zc57DG+oA1JgqF0quvInjsicpF1aXAfKXcqcX25_x000d_
Ti+OsjrAx+0jkDyrjNnK6r6wMNzoBRR6xtE5WSs0lS1by6DfAOIYVjLeREA1Yx/HnnOHAMmM_x000d_
W+NtomACLIian8siCRXZJBBstzSrxX4jq7yGPeqF6Pm7ysw3ZsWJ</vt:lpwstr>
  </property>
  <property fmtid="{D5CDD505-2E9C-101B-9397-08002B2CF9AE}" pid="15" name="_ms_pID_7253436_00">
    <vt:lpwstr>_ms_pID_7253436</vt:lpwstr>
  </property>
  <property fmtid="{D5CDD505-2E9C-101B-9397-08002B2CF9AE}" pid="16" name="_ms_pID_7253437">
    <vt:lpwstr>6xfo0hWRSEFVp7E5+Q+b_x000d_
SyraEpxM1KY71ea4ka10RE4rZ5HVGmRanMAYeMrH/qxsgfXTV5+HNFF9OpAGZJoCoixhqPLq_x000d_
s1e/ec7EXHKHk2ofqjlmn6G3rE2sT4IAnybx+vuXLwB2TeHMLgRXqlfGtSzIFOTa9El+kXOg_x000d_
7dt/tPdxCK6QpPp76KWBYMsyCJnFA4JQmsMjfPixyZXH5UAc7tBmiGpsSYjdYQsZ0e94ut</vt:lpwstr>
  </property>
  <property fmtid="{D5CDD505-2E9C-101B-9397-08002B2CF9AE}" pid="17" name="_ms_pID_7253437_00">
    <vt:lpwstr>_ms_pID_7253437</vt:lpwstr>
  </property>
  <property fmtid="{D5CDD505-2E9C-101B-9397-08002B2CF9AE}" pid="18" name="_ms_pID_7253438">
    <vt:lpwstr>FP_x000d_
c2xpyx8EAW3AHBokaMAMHEa3YyWcHSxuNoxFQ0IMreJrnH8SqRaoGTip3eUKVyS0JBcminxD_x000d_
PC9Z3T5tkoUoGdvajpPTGBH5ExZ1BstsPEHR98w52TWRRhIcd1V2X/DgyCqXRhcitPPo0pEV_x000d_
QeDyIcEL798pnFnc79y/4eZ86hbnndZ86kVjPMzqGCCI5srcn7mCNeAjx4ER5RWASc5ZuBET_x000d_
ogUxFZ4Blr19pB</vt:lpwstr>
  </property>
  <property fmtid="{D5CDD505-2E9C-101B-9397-08002B2CF9AE}" pid="19" name="_ms_pID_7253438_00">
    <vt:lpwstr>_ms_pID_7253438</vt:lpwstr>
  </property>
  <property fmtid="{D5CDD505-2E9C-101B-9397-08002B2CF9AE}" pid="20" name="_ms_pID_7253439">
    <vt:lpwstr>ZRODAECLrxIyT7m6ZcwzFWIcTbJ/7v05PD5Hp6Sw9EfP4qBNtYYdYkANgw_x000d_
dzoRaMp20jFADkjY2m6WzdZ/HxPkZx8bZ2Vp77UJ/wqnDZh2H+pTMrl3VVMocItHZ16dcOgV_x000d_
q+zjjLGLFP9wqC/HSzqm3qGqrOP1rlqKQF4VkXN6qtOb0nHD1lw=</vt:lpwstr>
  </property>
  <property fmtid="{D5CDD505-2E9C-101B-9397-08002B2CF9AE}" pid="21" name="_ms_pID_7253439_00">
    <vt:lpwstr>_ms_pID_7253439</vt:lpwstr>
  </property>
  <property fmtid="{D5CDD505-2E9C-101B-9397-08002B2CF9AE}" pid="22" name="_new_ms_pID_72543">
    <vt:lpwstr>(3)BRuulKJPTTHhusoZCXovi3Hke+RqpSM2fdDVip0lsYI/JpfOWgmQw0BKBtp9fAInPQM11e3A_x000d_
EjlRqB6h4MFamsWFoxcTzNQpF415LhVDrcg24OCjs4GlE6sH5u4POFT5ADWA2E1Jkog4ds2k_x000d_
sX1liG/6JK04nLAPJ3W0IX1pk0dsvDFTkoRxKx5WRNjH1rNljlUVQV/m3q6Ini99derFMlO9_x000d_
SoOtaqTx6bukqoIA2k</vt:lpwstr>
  </property>
  <property fmtid="{D5CDD505-2E9C-101B-9397-08002B2CF9AE}" pid="23" name="_new_ms_pID_72543_00">
    <vt:lpwstr>_new_ms_pID_72543</vt:lpwstr>
  </property>
  <property fmtid="{D5CDD505-2E9C-101B-9397-08002B2CF9AE}" pid="24" name="_new_ms_pID_725431">
    <vt:lpwstr>eytbxORHVimW8cOJHLHfTDLCVWieo3X9dey3yYTZo1pSbkivuv4TVY_x000d_
JOM4Pw3Z6lGxfmBJWaLI61STDlGnJYtOGE1a6TAoC4ia77IhhK+/PKiImIzmMmlMX+KGU0vC_x000d_
qnWOAeBe6/yK75SvyIVzERQKdX9yM67Crl7yueUQYh/3zc7p+r/LRiRgn4oXrw+qFKId2g0g_x000d_
g42i6q6TdCg+UHSySP1hoQn/6zSwcUQPh+Ck</vt:lpwstr>
  </property>
  <property fmtid="{D5CDD505-2E9C-101B-9397-08002B2CF9AE}" pid="25" name="_new_ms_pID_725431_00">
    <vt:lpwstr>_new_ms_pID_725431</vt:lpwstr>
  </property>
  <property fmtid="{D5CDD505-2E9C-101B-9397-08002B2CF9AE}" pid="26" name="_new_ms_pID_725432">
    <vt:lpwstr>UYA9St8tcxATyoXNIfpPIkUu3jRCNmoH7oi+_x000d_
zuOJCx2x</vt:lpwstr>
  </property>
  <property fmtid="{D5CDD505-2E9C-101B-9397-08002B2CF9AE}" pid="27" name="_new_ms_pID_725432_00">
    <vt:lpwstr>_new_ms_pID_725432</vt:lpwstr>
  </property>
  <property fmtid="{D5CDD505-2E9C-101B-9397-08002B2CF9AE}" pid="28" name="sflag">
    <vt:lpwstr>1450700600</vt:lpwstr>
  </property>
</Properties>
</file>